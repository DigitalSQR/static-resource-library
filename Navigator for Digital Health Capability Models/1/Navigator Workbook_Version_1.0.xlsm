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https://adminliveunc-my.sharepoint.com/personal/emillar_ad_unc_edu/Documents/Desktop/"/>
    </mc:Choice>
  </mc:AlternateContent>
  <xr:revisionPtr revIDLastSave="0" documentId="8_{19181320-1782-4FC7-979F-06001014D9F5}" xr6:coauthVersionLast="47" xr6:coauthVersionMax="47" xr10:uidLastSave="{00000000-0000-0000-0000-000000000000}"/>
  <bookViews>
    <workbookView xWindow="-98" yWindow="-98" windowWidth="20715" windowHeight="13276" activeTab="2" xr2:uid="{00000000-000D-0000-FFFF-FFFF00000000}"/>
  </bookViews>
  <sheets>
    <sheet name="Overview" sheetId="96" r:id="rId1"/>
    <sheet name="Instructions" sheetId="97" r:id="rId2"/>
    <sheet name="Tool Selection" sheetId="8" r:id="rId3"/>
    <sheet name="Description of Tools" sheetId="98" r:id="rId4"/>
    <sheet name="EDIT" sheetId="99" r:id="rId5"/>
    <sheet name="GDHI" sheetId="100" r:id="rId6"/>
    <sheet name="IMM" sheetId="101" r:id="rId7"/>
    <sheet name="IS4H" sheetId="102" r:id="rId8"/>
    <sheet name="SCORE" sheetId="103" r:id="rId9"/>
    <sheet name="SOCI" sheetId="104" r:id="rId10"/>
    <sheet name="Indi_mapping" sheetId="106" r:id="rId11"/>
    <sheet name="EDIT-GDHI" sheetId="107" state="hidden" r:id="rId12"/>
    <sheet name="EDIT-IMM" sheetId="108" state="hidden" r:id="rId13"/>
    <sheet name="EDIT-IS4H" sheetId="109" state="hidden" r:id="rId14"/>
    <sheet name="EDIT-SCORE" sheetId="110" state="hidden" r:id="rId15"/>
    <sheet name="EDIT-SOCI" sheetId="111" state="hidden" r:id="rId16"/>
    <sheet name="GDHI-EDIT" sheetId="112" state="hidden" r:id="rId17"/>
    <sheet name="GDHI-IMM" sheetId="113" state="hidden" r:id="rId18"/>
    <sheet name="GDHI-IS4H" sheetId="114" state="hidden" r:id="rId19"/>
    <sheet name="GDHI-SCORE" sheetId="115" state="hidden" r:id="rId20"/>
    <sheet name="GDHI-SOCI" sheetId="116" state="hidden" r:id="rId21"/>
    <sheet name="IMM-EDIT" sheetId="117" state="hidden" r:id="rId22"/>
    <sheet name="IMM-GDHI" sheetId="118" state="hidden" r:id="rId23"/>
    <sheet name="IMM-IS4H" sheetId="119" state="hidden" r:id="rId24"/>
    <sheet name="IMM-SCORE" sheetId="120" state="hidden" r:id="rId25"/>
    <sheet name="IMM-SOCI" sheetId="121" state="hidden" r:id="rId26"/>
    <sheet name="IS4H-EDIT" sheetId="122" state="hidden" r:id="rId27"/>
    <sheet name="IS4H-GDHI" sheetId="123" state="hidden" r:id="rId28"/>
    <sheet name="IS4H-IMM" sheetId="124" state="hidden" r:id="rId29"/>
    <sheet name="IS4H-SCORE" sheetId="125" state="hidden" r:id="rId30"/>
    <sheet name="IS4H-SOCI" sheetId="126" state="hidden" r:id="rId31"/>
    <sheet name="SCORE-EDIT" sheetId="127" state="hidden" r:id="rId32"/>
    <sheet name="SCORE-GDHI" sheetId="128" state="hidden" r:id="rId33"/>
    <sheet name="SCORE-IMM" sheetId="129" state="hidden" r:id="rId34"/>
    <sheet name="SCORE-IS4H" sheetId="130" state="hidden" r:id="rId35"/>
    <sheet name="SCORE-SOCI" sheetId="131" state="hidden" r:id="rId36"/>
    <sheet name="SOCI-EDIT" sheetId="132" state="hidden" r:id="rId37"/>
    <sheet name="SOCI-GDHI" sheetId="133" state="hidden" r:id="rId38"/>
    <sheet name="SOCI-IMM" sheetId="134" state="hidden" r:id="rId39"/>
    <sheet name="SOCI-IS4H" sheetId="135" state="hidden" r:id="rId40"/>
    <sheet name="SOCI-SCORE" sheetId="136" state="hidden" r:id="rId41"/>
  </sheets>
  <functionGroups builtInGroupCount="19"/>
  <externalReferences>
    <externalReference r:id="rId42"/>
    <externalReference r:id="rId43"/>
    <externalReference r:id="rId44"/>
    <externalReference r:id="rId45"/>
    <externalReference r:id="rId46"/>
  </externalReferences>
  <definedNames>
    <definedName name="response_codes">[1]Codes!$A$3:$A$7</definedName>
    <definedName name="responses">[2]Sheet4!$A$2:$A$7</definedName>
    <definedName name="responses2" localSheetId="3">[3]Sheet4!$A$2:$A$7</definedName>
    <definedName name="responses2" localSheetId="4">[3]Sheet4!$A$2:$A$7</definedName>
    <definedName name="responses2" localSheetId="11">[4]Sheet4!$A$2:$A$7</definedName>
    <definedName name="responses2" localSheetId="12">[4]Sheet4!$A$2:$A$7</definedName>
    <definedName name="responses2" localSheetId="13">[4]Sheet4!$A$2:$A$7</definedName>
    <definedName name="responses2" localSheetId="14">[4]Sheet4!$A$2:$A$7</definedName>
    <definedName name="responses2" localSheetId="15">[4]Sheet4!$A$2:$A$7</definedName>
    <definedName name="responses2" localSheetId="5">[3]Sheet4!$A$2:$A$7</definedName>
    <definedName name="responses2" localSheetId="16">[4]Sheet4!$A$2:$A$7</definedName>
    <definedName name="responses2" localSheetId="17">[4]Sheet4!$A$2:$A$7</definedName>
    <definedName name="responses2" localSheetId="18">[4]Sheet4!$A$2:$A$7</definedName>
    <definedName name="responses2" localSheetId="19">[4]Sheet4!$A$2:$A$7</definedName>
    <definedName name="responses2" localSheetId="20">[4]Sheet4!$A$2:$A$7</definedName>
    <definedName name="responses2" localSheetId="6">[3]Sheet4!$A$2:$A$7</definedName>
    <definedName name="responses2" localSheetId="21">[4]Sheet4!$A$2:$A$7</definedName>
    <definedName name="responses2" localSheetId="22">[4]Sheet4!$A$2:$A$7</definedName>
    <definedName name="responses2" localSheetId="23">[4]Sheet4!$A$2:$A$7</definedName>
    <definedName name="responses2" localSheetId="24">[4]Sheet4!$A$2:$A$7</definedName>
    <definedName name="responses2" localSheetId="25">[4]Sheet4!$A$2:$A$7</definedName>
    <definedName name="responses2" localSheetId="10">[4]Sheet4!$A$2:$A$7</definedName>
    <definedName name="responses2" localSheetId="1">[3]Sheet4!$A$2:$A$7</definedName>
    <definedName name="responses2" localSheetId="7">[3]Sheet4!$A$2:$A$7</definedName>
    <definedName name="responses2" localSheetId="26">[4]Sheet4!$A$2:$A$7</definedName>
    <definedName name="responses2" localSheetId="27">[4]Sheet4!$A$2:$A$7</definedName>
    <definedName name="responses2" localSheetId="28">[4]Sheet4!$A$2:$A$7</definedName>
    <definedName name="responses2" localSheetId="29">[4]Sheet4!$A$2:$A$7</definedName>
    <definedName name="responses2" localSheetId="30">[4]Sheet4!$A$2:$A$7</definedName>
    <definedName name="responses2" localSheetId="0">[3]Sheet4!$A$2:$A$7</definedName>
    <definedName name="responses2" localSheetId="8">[3]Sheet4!$A$2:$A$7</definedName>
    <definedName name="responses2" localSheetId="31">[4]Sheet4!$A$2:$A$7</definedName>
    <definedName name="responses2" localSheetId="32">[4]Sheet4!$A$2:$A$7</definedName>
    <definedName name="responses2" localSheetId="33">[4]Sheet4!$A$2:$A$7</definedName>
    <definedName name="responses2" localSheetId="34">[4]Sheet4!$A$2:$A$7</definedName>
    <definedName name="responses2" localSheetId="35">[4]Sheet4!$A$2:$A$7</definedName>
    <definedName name="responses2" localSheetId="9">[3]Sheet4!$A$2:$A$7</definedName>
    <definedName name="responses2" localSheetId="36">[4]Sheet4!$A$2:$A$7</definedName>
    <definedName name="responses2" localSheetId="37">[4]Sheet4!$A$2:$A$7</definedName>
    <definedName name="responses2" localSheetId="38">[4]Sheet4!$A$2:$A$7</definedName>
    <definedName name="responses2" localSheetId="39">[4]Sheet4!$A$2:$A$7</definedName>
    <definedName name="responses2" localSheetId="40">[4]Sheet4!$A$2:$A$7</definedName>
    <definedName name="responses2">[5]Sheet4!$A$2:$A$7</definedName>
    <definedName name="validation_list">OFFSET([2]Sheet4!$S1,,,COUNTIF([2]Sheet4!$S$2:$S$7,"?*"))</definedName>
  </definedNames>
  <calcPr calcId="191029"/>
  <customWorkbookViews>
    <customWorkbookView name="Filter 1" guid="{DA1B3BA9-4C1A-4BAC-A1D4-AE9BAA38750B}"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3" i="8" l="1"/>
  <c r="F22" i="8"/>
  <c r="E20" i="8"/>
  <c r="K12" i="8"/>
  <c r="K13" i="8" s="1"/>
  <c r="E16" i="8"/>
  <c r="E17" i="8"/>
  <c r="J11" i="8"/>
  <c r="G10" i="8"/>
  <c r="I9" i="8"/>
  <c r="I8" i="8"/>
  <c r="G8" i="8"/>
  <c r="F6" i="8"/>
  <c r="H5" i="8"/>
  <c r="E4" i="8"/>
  <c r="I12" i="8" l="1"/>
  <c r="G12" i="8"/>
  <c r="J27" i="8" l="1"/>
  <c r="J28" i="8"/>
  <c r="J29" i="8"/>
  <c r="J30" i="8"/>
  <c r="J31" i="8"/>
  <c r="J32" i="8"/>
  <c r="J26" i="8"/>
  <c r="J24" i="8"/>
  <c r="J13" i="8"/>
  <c r="J18" i="8" s="1"/>
  <c r="J12" i="8"/>
  <c r="H21" i="8"/>
  <c r="H22" i="8"/>
  <c r="H19" i="8"/>
  <c r="I27" i="8"/>
  <c r="I28" i="8"/>
  <c r="I29" i="8"/>
  <c r="I30" i="8"/>
  <c r="I31" i="8"/>
  <c r="I32" i="8"/>
  <c r="I33" i="8"/>
  <c r="I26" i="8"/>
  <c r="H27" i="8"/>
  <c r="H28" i="8"/>
  <c r="H29" i="8"/>
  <c r="H30" i="8"/>
  <c r="H31" i="8"/>
  <c r="H26" i="8"/>
  <c r="G33" i="8"/>
  <c r="G27" i="8"/>
  <c r="G28" i="8"/>
  <c r="G29" i="8"/>
  <c r="G30" i="8"/>
  <c r="G31" i="8"/>
  <c r="G26" i="8"/>
  <c r="F27" i="8"/>
  <c r="F28" i="8"/>
  <c r="F29" i="8"/>
  <c r="F30" i="8"/>
  <c r="F31" i="8"/>
  <c r="F32" i="8"/>
  <c r="F26" i="8"/>
  <c r="E27" i="8"/>
  <c r="E28" i="8"/>
  <c r="E29" i="8"/>
  <c r="E30" i="8"/>
  <c r="E31" i="8"/>
  <c r="E32" i="8"/>
  <c r="E26" i="8"/>
  <c r="I23" i="8"/>
  <c r="H20" i="8"/>
  <c r="G21" i="8"/>
  <c r="F25" i="8"/>
  <c r="E19" i="8"/>
  <c r="E25" i="8" s="1"/>
  <c r="I15" i="8"/>
  <c r="I13" i="8"/>
  <c r="H13" i="8"/>
  <c r="H18" i="8" s="1"/>
  <c r="G13" i="8"/>
  <c r="G18" i="8" s="1"/>
  <c r="F14" i="8"/>
  <c r="F13" i="8"/>
  <c r="E14" i="8"/>
  <c r="E15" i="8"/>
  <c r="E13" i="8"/>
  <c r="H3" i="8"/>
  <c r="H12" i="8" s="1"/>
  <c r="F7" i="8"/>
  <c r="F12" i="8" s="1"/>
  <c r="E5" i="8"/>
  <c r="E12" i="8" s="1"/>
  <c r="H25" i="8" l="1"/>
  <c r="I18" i="8"/>
  <c r="F18" i="8"/>
  <c r="E18" i="8"/>
  <c r="I25" i="8"/>
  <c r="G25" i="8"/>
  <c r="J25" i="8"/>
  <c r="J34" i="8"/>
  <c r="Q12" i="8"/>
  <c r="L12" i="8"/>
  <c r="N12" i="8"/>
  <c r="G34" i="8"/>
  <c r="I34" i="8"/>
  <c r="F34" i="8"/>
  <c r="H34" i="8"/>
  <c r="E34" i="8"/>
  <c r="M12" i="8"/>
  <c r="P12" i="8"/>
  <c r="O12" i="8"/>
  <c r="F35" i="8" l="1"/>
  <c r="G35" i="8"/>
  <c r="I35" i="8"/>
  <c r="J35" i="8"/>
  <c r="H35" i="8"/>
  <c r="E35" i="8"/>
</calcChain>
</file>

<file path=xl/sharedStrings.xml><?xml version="1.0" encoding="utf-8"?>
<sst xmlns="http://schemas.openxmlformats.org/spreadsheetml/2006/main" count="2337" uniqueCount="732">
  <si>
    <t>GDHI</t>
  </si>
  <si>
    <t>IMM</t>
  </si>
  <si>
    <t>SOCI</t>
  </si>
  <si>
    <t>EDIT</t>
  </si>
  <si>
    <t>IS4H</t>
  </si>
  <si>
    <t>What assessment method(s) do available resources support?</t>
  </si>
  <si>
    <t>Leadership and governance</t>
  </si>
  <si>
    <t>Strategy and Investment</t>
  </si>
  <si>
    <t>Legislation, policy, and compliance</t>
  </si>
  <si>
    <t>Workforce</t>
  </si>
  <si>
    <t>Standards and interoperability</t>
  </si>
  <si>
    <t>Services and applications</t>
  </si>
  <si>
    <t>Data quality and use</t>
  </si>
  <si>
    <t>Total</t>
  </si>
  <si>
    <t>Grand Total</t>
  </si>
  <si>
    <t>Rank</t>
  </si>
  <si>
    <t>SCORE</t>
  </si>
  <si>
    <t>ICT Infrastructure</t>
  </si>
  <si>
    <t xml:space="preserve"> </t>
  </si>
  <si>
    <t>What is the purpose of this workbook?</t>
  </si>
  <si>
    <t>Who should use this workbook?</t>
  </si>
  <si>
    <t>How can the results be used?</t>
  </si>
  <si>
    <t>Take me to the Instructions tab!</t>
  </si>
  <si>
    <r>
      <t xml:space="preserve">3) Navigate to the </t>
    </r>
    <r>
      <rPr>
        <b/>
        <sz val="11"/>
        <color theme="1"/>
        <rFont val="Arial"/>
        <family val="2"/>
        <scheme val="minor"/>
      </rPr>
      <t>Tool Selection</t>
    </r>
    <r>
      <rPr>
        <sz val="11"/>
        <color theme="1"/>
        <rFont val="Arial"/>
        <family val="2"/>
        <scheme val="minor"/>
      </rPr>
      <t xml:space="preserve"> tab. </t>
    </r>
  </si>
  <si>
    <r>
      <t>4) To learn more about your recommended tool, click on the</t>
    </r>
    <r>
      <rPr>
        <b/>
        <sz val="11"/>
        <color theme="1"/>
        <rFont val="Arial"/>
        <family val="2"/>
        <scheme val="minor"/>
      </rPr>
      <t xml:space="preserve"> individual tool tab</t>
    </r>
    <r>
      <rPr>
        <sz val="11"/>
        <color theme="1"/>
        <rFont val="Arial"/>
        <family val="2"/>
        <scheme val="minor"/>
      </rPr>
      <t xml:space="preserve">, or on the </t>
    </r>
    <r>
      <rPr>
        <b/>
        <sz val="11"/>
        <color theme="1"/>
        <rFont val="Arial"/>
        <family val="2"/>
        <scheme val="minor"/>
      </rPr>
      <t>Description of Tools</t>
    </r>
    <r>
      <rPr>
        <sz val="11"/>
        <color theme="1"/>
        <rFont val="Arial"/>
        <family val="2"/>
        <scheme val="minor"/>
      </rPr>
      <t xml:space="preserve"> tab for a brief summary of all tools.  </t>
    </r>
  </si>
  <si>
    <t xml:space="preserve">Tool </t>
  </si>
  <si>
    <t xml:space="preserve">Description </t>
  </si>
  <si>
    <t>Early Stage Digital Health Investment Tool (EDIT)</t>
  </si>
  <si>
    <t>Sources</t>
  </si>
  <si>
    <t>Global Digital Health Index (GDHI)</t>
  </si>
  <si>
    <r>
      <rPr>
        <b/>
        <sz val="12"/>
        <color rgb="FF000000"/>
        <rFont val="Arial"/>
        <family val="2"/>
        <scheme val="minor"/>
      </rPr>
      <t xml:space="preserve">Client Countries: </t>
    </r>
    <r>
      <rPr>
        <sz val="12"/>
        <color rgb="FF000000"/>
        <rFont val="Arial"/>
        <family val="2"/>
        <scheme val="minor"/>
      </rPr>
      <t>Benin, Ethiopia, Democratic Republic of the Congo, Mali, Nigeria, Sierra Leone, Uganda, Afghanistan, Jordan, Kuwait, Pakistan, Portugal, Chile, Peru, Bangladesh, Indonesia, Sri Lanka, Thailand, Laos, Malaysia, Mongolia, New Zealand, Philippines.</t>
    </r>
    <r>
      <rPr>
        <vertAlign val="superscript"/>
        <sz val="12"/>
        <color rgb="FF000000"/>
        <rFont val="Arial"/>
        <family val="2"/>
        <scheme val="minor"/>
      </rPr>
      <t>2</t>
    </r>
  </si>
  <si>
    <t>1.     http://index.digitalhealthindex.org/methodology</t>
  </si>
  <si>
    <t>2.     http://index.digitalhealthindex.org/map</t>
  </si>
  <si>
    <t>The Information Systems for Health Maturity Assessment Tool (IS4H-MM)</t>
  </si>
  <si>
    <r>
      <rPr>
        <b/>
        <sz val="12"/>
        <color rgb="FF000000"/>
        <rFont val="Century Gothic "/>
      </rPr>
      <t xml:space="preserve">Creator: </t>
    </r>
    <r>
      <rPr>
        <sz val="12"/>
        <color rgb="FF000000"/>
        <rFont val="Century Gothic "/>
      </rPr>
      <t>Pan American Health Organization (PAHO)</t>
    </r>
  </si>
  <si>
    <t>Sources:</t>
  </si>
  <si>
    <t>1.     https://www.paho.org/ish/index.php/en/is4h-basics</t>
  </si>
  <si>
    <t>2.     https://www.paho.org/ish/images/toolkit/IS4H-APG-EN.pdf?ua=1</t>
  </si>
  <si>
    <t>1.     https://cdn.who.int/media/docs/default-source/world-health-data-platform/score/who_2021-01-29_methodology-score_tb.pdf?sfvrsn=6c507a39_3&amp;download=true</t>
  </si>
  <si>
    <t>2.     https://www.who.int/news-room/q-a-detail/score-technical-package</t>
  </si>
  <si>
    <t>HIS Stages of Continuous Improvement (SOCI)</t>
  </si>
  <si>
    <t>1.     https://www.measureevaluation.org/resources/publications/ms-19-158/at_download/document</t>
  </si>
  <si>
    <t xml:space="preserve">Output Text and Table </t>
  </si>
  <si>
    <t xml:space="preserve">EDIT Code </t>
  </si>
  <si>
    <t xml:space="preserve">GDHI Code </t>
  </si>
  <si>
    <t>T.A.1.c</t>
  </si>
  <si>
    <t>Mechanisms for information sharing within the health system</t>
  </si>
  <si>
    <t>G.E.1</t>
  </si>
  <si>
    <t>Is there a national digital health (eHealth) architectural framework and/or health information exchange (HIE) established?</t>
  </si>
  <si>
    <t>T.A.2.a</t>
  </si>
  <si>
    <t xml:space="preserve">Maturity of public sector digital health professional careers </t>
  </si>
  <si>
    <t>G.D.4</t>
  </si>
  <si>
    <t>Are there public sector professional titles and career paths in digital health?</t>
  </si>
  <si>
    <t>T.A.2.b</t>
  </si>
  <si>
    <t>Specialized knowledge to support and maintain system</t>
  </si>
  <si>
    <t>G.F.2</t>
  </si>
  <si>
    <t>T.A.2.c</t>
  </si>
  <si>
    <t xml:space="preserve">Training of digital health workforce </t>
  </si>
  <si>
    <t>G.D.3</t>
  </si>
  <si>
    <t>T.B.1.a</t>
  </si>
  <si>
    <t>Existence of policies for data exchange</t>
  </si>
  <si>
    <t>G.C.2</t>
  </si>
  <si>
    <t>Is there a law to protect individual privacy, governing ownership, access and sharing of individually identifiable digital health data ?</t>
  </si>
  <si>
    <t>G.C.4</t>
  </si>
  <si>
    <t>T.B.1.b</t>
  </si>
  <si>
    <t>Existence of policies for data protection/security (e.g., storage, transmission, use)</t>
  </si>
  <si>
    <t>G.C.1</t>
  </si>
  <si>
    <t>Is there a law on data security (storage, transmission, use) that is relevant to digital health?</t>
  </si>
  <si>
    <t>T.B.1.c</t>
  </si>
  <si>
    <t>T.B.2.b</t>
  </si>
  <si>
    <t xml:space="preserve">Existence of a national digital health architecture and/or health information exchange </t>
  </si>
  <si>
    <t>T.B.2.c</t>
  </si>
  <si>
    <t>Interoperability framework or guidelines</t>
  </si>
  <si>
    <t>G.E.2</t>
  </si>
  <si>
    <t>T.B.2.d</t>
  </si>
  <si>
    <t>Existence of a birth registry</t>
  </si>
  <si>
    <t>G.G.3.b</t>
  </si>
  <si>
    <t>T.B.3.a</t>
  </si>
  <si>
    <t>Master facility list</t>
  </si>
  <si>
    <t>G.G.2</t>
  </si>
  <si>
    <t>T.B.3.b</t>
  </si>
  <si>
    <t>Unique ID system available for interoperability (master client index)</t>
  </si>
  <si>
    <t>G.G.3.a</t>
  </si>
  <si>
    <t>T.B.3.c</t>
  </si>
  <si>
    <t>Ability to unambiguously identify an individual</t>
  </si>
  <si>
    <t>T.C.1.b</t>
  </si>
  <si>
    <t>Existence of national department/agency/unit/coordinating body for digital health</t>
  </si>
  <si>
    <t>G.A.1</t>
  </si>
  <si>
    <t>T.C.2.a</t>
  </si>
  <si>
    <t>Existence of a digital health strategy</t>
  </si>
  <si>
    <t>G.B.1</t>
  </si>
  <si>
    <t>Does the country have an eHealth or digital health strategy or framework and a costed digital health plan?</t>
  </si>
  <si>
    <t>T.C.2.b</t>
  </si>
  <si>
    <t>Funding secured for the key priorities of the strategy</t>
  </si>
  <si>
    <t>G.B.2</t>
  </si>
  <si>
    <t>What is the estimated percent (%) of the annual public spending on health committed to digital health?</t>
  </si>
  <si>
    <t>T.E.1.b</t>
  </si>
  <si>
    <t>Percent of annual public spending on health committed to digital health</t>
  </si>
  <si>
    <t>T.F.1.a</t>
  </si>
  <si>
    <t>WEF Network Readiness score</t>
  </si>
  <si>
    <t>G.F.1</t>
  </si>
  <si>
    <t>Extract the WEF Network Readiness Index score</t>
  </si>
  <si>
    <t>T.F.3.c</t>
  </si>
  <si>
    <t xml:space="preserve">National level capacity for data architecture and design for interoperability </t>
  </si>
  <si>
    <t>T.F.3.f</t>
  </si>
  <si>
    <t>Planning and support for ongoing digital health infrastructure maintenance</t>
  </si>
  <si>
    <t>IMM Code</t>
  </si>
  <si>
    <t>M.B.2</t>
  </si>
  <si>
    <t>Availability of adequate personnel with characteristics, attributes, and capabilities to perform a task/set of tasks to achieve clearly defined results.</t>
  </si>
  <si>
    <t>M.A.3</t>
  </si>
  <si>
    <t>Adherence to organizational policies, procedures, and best practices related to HIS, including standards for data exchange, messaging, and security. It also means adherence to applicable laws, relevant industry standards, and internal policies (e.g., codes of conduct).</t>
  </si>
  <si>
    <t>M.C.3</t>
  </si>
  <si>
    <t>Data management consists of the development, execution, and supervision of plans, policies, programs, and practices that control, protect, deliver, and enhance the value of data and information assets for decision making. Data management includes procedures on how data are captured, stored, analyzed, transmitted, and packaged for use across the data supply chain.</t>
  </si>
  <si>
    <t>M.C.1</t>
  </si>
  <si>
    <t>Enterprise architecture is a method and an organizing principle that aligns functional business objectives and strategies with an information technology (IT) strategy and execution plan. A national enterprise architecture for an HIS defines how HIS subsystems interact and exchange data, and shows the necessary services for that data exchange, such as an interoperability services layer.</t>
  </si>
  <si>
    <t>M.A.2</t>
  </si>
  <si>
    <t>The documents (policies, strategies, and frameworks) that guide decisions, implementation, and the course of action for HIS interoperability. They are important reference materials for stakeholders who are developing the HIS from its current status to a mature status.</t>
  </si>
  <si>
    <t>M.A.1</t>
  </si>
  <si>
    <t>The exercise of technical, political, and administrative authority to manage national HIS
affairs at all levels of a country’s health system. The governance structure consists of the
mechanisms, processes, and institutions through which actors and stakeholders articulate their
interests, exercise their rights, meet their obligations, mediate their differences, and oversee the
functioning of the HIS.</t>
  </si>
  <si>
    <t>T.C.1.d</t>
  </si>
  <si>
    <t xml:space="preserve">Enforcement of regulatory frameworks for compliance </t>
  </si>
  <si>
    <t>M.A.8</t>
  </si>
  <si>
    <t>All activities involved in securing new and additional financial resources for an organization (in this case, the HIS). It also involves making better use of and maximizing existing financial resources</t>
  </si>
  <si>
    <t>T.D.2.b</t>
  </si>
  <si>
    <t>Data for decision making</t>
  </si>
  <si>
    <t>M.A.5</t>
  </si>
  <si>
    <t>Use of indicators/attributes from the maturity model to facilitate the tracking of inputs, processes, and outputs against desired results of HIS interoperability implementation, and using these data to make decisions.</t>
  </si>
  <si>
    <t>T.D.4.a</t>
  </si>
  <si>
    <t>Monitor and evaluation plan</t>
  </si>
  <si>
    <t>T.F.3.a</t>
  </si>
  <si>
    <t>Server Infrastructure</t>
  </si>
  <si>
    <t>M.C.6</t>
  </si>
  <si>
    <t>A communication network is several computers linked together to allow them to share resources. Networked computers can share hardware, software, and data. Most computer networks have at least one server. A local area network (LAN) and a wide area network (WAN) are typically distinguished by the geographical coverage of the network, with a LAN usually covering and offering services to a relatively small geographical area as compared to a WAN.</t>
  </si>
  <si>
    <t>T.F.3.d</t>
  </si>
  <si>
    <t>Ability to maintain and troubleshoot both hardware and software at district level</t>
  </si>
  <si>
    <t>M.C.5</t>
  </si>
  <si>
    <t>A set of procedures to ensure a high uptime for computer hardware, software, and network resources</t>
  </si>
  <si>
    <t>IS4H Code</t>
  </si>
  <si>
    <t>KMSH1</t>
  </si>
  <si>
    <t>Knowledge management methodologies and mechanisms to improve decision-making, capture, share and measure organizational knowledge.</t>
  </si>
  <si>
    <t>MAGO5</t>
  </si>
  <si>
    <t xml:space="preserve">Human capital for planning, implementing, and managing IS4H. Competency building activities to strengthen to IS4H skills. Job functions identified to effectively support IS4H. </t>
  </si>
  <si>
    <t>KMSH2</t>
  </si>
  <si>
    <t>T.B.2.a</t>
  </si>
  <si>
    <t>Existing digital health system</t>
  </si>
  <si>
    <t>INNO4</t>
  </si>
  <si>
    <t>DMIT3</t>
  </si>
  <si>
    <t>T.C.1.a</t>
  </si>
  <si>
    <t>Leadership and political will</t>
  </si>
  <si>
    <t>MAGO1</t>
  </si>
  <si>
    <t>T.C.1.c</t>
  </si>
  <si>
    <t xml:space="preserve">Defined roles &amp; responsibilities related to existing digital health functions and activities </t>
  </si>
  <si>
    <t>MAGO3</t>
  </si>
  <si>
    <t>MAGO7</t>
  </si>
  <si>
    <t xml:space="preserve">Key and core legislation, policy and compliance mechanisms, elements to enable IS4H implementation, operation, and maintenance. </t>
  </si>
  <si>
    <t>MAGO4</t>
  </si>
  <si>
    <t>Budget for IS4H implementation, sustainability, investment. Resources mobilization plans and ERP systems.</t>
  </si>
  <si>
    <t>DMIT5</t>
  </si>
  <si>
    <t>National monitoring and evaluation (M&amp;E) is based on standards</t>
  </si>
  <si>
    <t>E3.1</t>
  </si>
  <si>
    <t>High quality analytical reports on progress and performance of health sector strategy/plan are produced annually</t>
  </si>
  <si>
    <t>R1.1</t>
  </si>
  <si>
    <t>Periodic in-depth review</t>
  </si>
  <si>
    <t>T.D.3.c</t>
  </si>
  <si>
    <t>Availability of annual statistics for selected indicators derived from facility data</t>
  </si>
  <si>
    <t>O1.1</t>
  </si>
  <si>
    <t>Reports of statistics, as well as key bulletins and summaries, produced and distributed to stakeholders, MOH data users and producers</t>
  </si>
  <si>
    <t>T.D.2.d</t>
  </si>
  <si>
    <t>National health plan and policies are based on data and evidence</t>
  </si>
  <si>
    <t>E1.1</t>
  </si>
  <si>
    <t>National digital health/eHealth strategy is based on standards</t>
  </si>
  <si>
    <t>E3.2</t>
  </si>
  <si>
    <t>SCORE Code</t>
  </si>
  <si>
    <t>SOCI Code</t>
  </si>
  <si>
    <t>II.A.1</t>
  </si>
  <si>
    <t>T.A.3.a</t>
  </si>
  <si>
    <t xml:space="preserve">Regular supportive staff supervision </t>
  </si>
  <si>
    <t>V.A.2</t>
  </si>
  <si>
    <t>The existence and implementation of such processes as standard operating procedures for data collection, data management guidance, development and production of data collection tools, and supportive supervision procedures.</t>
  </si>
  <si>
    <t>I.B.1</t>
  </si>
  <si>
    <t xml:space="preserve">Documented HIS policies and legislation that outline a deliberate system of principles to guide decisions and achieve HIS outcomes. This framework designates an appropriate entity to oversee adherence to procedures and policies related to data management, data sharing and use, privacy and security, and business process continuity.  </t>
  </si>
  <si>
    <t>IV.A.1</t>
  </si>
  <si>
    <t>Standards and guidelines to enable consistent and accurate definition, collection, and exchange of health information across HIS and services.</t>
  </si>
  <si>
    <t>IV.B.1</t>
  </si>
  <si>
    <t>A master facility list (MFL) is a complete list of health facilities (both public and private) in a country and comprises administrative information and information that identifies each facility (signature domain).</t>
  </si>
  <si>
    <t>IV.B.4</t>
  </si>
  <si>
    <t>The source of assigning identifiers to uniquely identify persons receiving or providing services in different programs.</t>
  </si>
  <si>
    <t>I.C.1</t>
  </si>
  <si>
    <t>The exercise of technical, political, and administrative authority to manage national HIS affairs at all levels of a country’s health system. The governance structure consists of the mechanisms, processes, and institutions through which actors and stakeholders articulate their interests, exercise their rights, meet their obligations, mediate their differences, and oversee the functioning of the HIS.</t>
  </si>
  <si>
    <t>I.C.2</t>
  </si>
  <si>
    <t>Defined organizational structures and process, including job titles and clear descriptions of duties and responsibilities.</t>
  </si>
  <si>
    <t>I.B.2</t>
  </si>
  <si>
    <t>Specified mechanisms and regulatory agency to ensure adherence to organizational policies, procedures, and best practices related to HIS, including standards for data exchange, messaging, and security. It also means adherence to applicable laws, relevant industry standards, and internal policies (e.g., codes of conduct).</t>
  </si>
  <si>
    <t>Have you used any of the tools in the last 2 years?</t>
  </si>
  <si>
    <t xml:space="preserve">NONE </t>
  </si>
  <si>
    <t xml:space="preserve">Assess and monitor digital health readiness to prioritize digital health investments </t>
  </si>
  <si>
    <t>Track, monitor, assess, and benchmark the effective use of digital health</t>
  </si>
  <si>
    <t>Develop digital health (or eHealth) strategy</t>
  </si>
  <si>
    <t>Develop a health information systems (HIS) interoperability strategy</t>
  </si>
  <si>
    <t>Assess and improve HIS interoperability maturity</t>
  </si>
  <si>
    <t>Develop an HIS strategy</t>
  </si>
  <si>
    <t>Monitor and evaluate HIS process improvements</t>
  </si>
  <si>
    <t>Determine current and desired maturity levels to develop a roadmap for continuous HIS improvement</t>
  </si>
  <si>
    <t>Assess and strengthen country HIS and data to track progress towards the health-related SDGs</t>
  </si>
  <si>
    <t>In what language will the assessment be conducted?</t>
  </si>
  <si>
    <t>English</t>
  </si>
  <si>
    <t>French</t>
  </si>
  <si>
    <t>Spanish</t>
  </si>
  <si>
    <t>Portuguese</t>
  </si>
  <si>
    <t>Arabic</t>
  </si>
  <si>
    <t>Half-day workshop with 2-3 key stakeholders</t>
  </si>
  <si>
    <t>Individual interviews conducted and aggregated remotely</t>
  </si>
  <si>
    <t>Desk review of documents, individual stakeholder interviews, and consensus-building workshop (1-2 days)</t>
  </si>
  <si>
    <t>Individual stakeholder interviews and consensus-building workshop (2-3 days)</t>
  </si>
  <si>
    <t>Week-long stakeholder workshop and site visits/observations</t>
  </si>
  <si>
    <t>Desk review of documents and data sources followed by validation workshop with country government officials</t>
  </si>
  <si>
    <t>Which building blocks are your priority to assess? *see WHO-ITU National eHEalth strategy building blocks</t>
  </si>
  <si>
    <t>Early Stage Digital Health Investment Toolkit (EDIT)</t>
  </si>
  <si>
    <t>HIS Interoperability Maturity Model (IMM)</t>
  </si>
  <si>
    <t>Information Systems for Health Maturity Assessment tool (IS4H)</t>
  </si>
  <si>
    <t>Select Save &amp; Close to save a version workbook with recommended tool output. Be sure to give file a unique name.</t>
  </si>
  <si>
    <t>Indicator 16 - Planning and support for ongoing digital health infrastructure maintenance</t>
  </si>
  <si>
    <t>Indicator 13 - National digital health architecture and/or health information exchange</t>
  </si>
  <si>
    <t>Indicator 15 - Network readiness</t>
  </si>
  <si>
    <t>Indicator 4 - Public funding for digital health</t>
  </si>
  <si>
    <t>Indicator 3 - National eHealth/ Digital Health Strategy or Framework</t>
  </si>
  <si>
    <t>Does the country have a separate department/agency/ national working group for digital health?</t>
  </si>
  <si>
    <t>Indicator 1 - Digital health prioritized at the national level through dedicated bodies/ mechanisms for governance</t>
  </si>
  <si>
    <t>Existence of national department/agency/unit/ coordinating body for digital health</t>
  </si>
  <si>
    <t>Indicator 19a - Digital identity management of individuals for health</t>
  </si>
  <si>
    <t>Indicator 18 - Digital identity management of service providers, administrators, and facilities for digital health, including location data for GIS mapping</t>
  </si>
  <si>
    <t>Indicator 19b - Digital identity management of individuals for health</t>
  </si>
  <si>
    <t>Indicator 14 - Health information standards</t>
  </si>
  <si>
    <t>Indicator 13 - National digital health architecture and/or health information exchange</t>
  </si>
  <si>
    <t>Indicator 8 - Cross-border data security and sharing</t>
  </si>
  <si>
    <t>Indicator 11 - Training of digital health workforce</t>
  </si>
  <si>
    <t>Indicator 16 - Planning and support for ongoing digital health infrastructure maintenance</t>
  </si>
  <si>
    <t>Indicator 12 - Maturity of public sector digital health professional careers</t>
  </si>
  <si>
    <t>GDHI Indicator description</t>
  </si>
  <si>
    <t>GDHI Indicator</t>
  </si>
  <si>
    <t>EDIT Indicator Description</t>
  </si>
  <si>
    <t xml:space="preserve">Based on your main assessment goal [and additional criteria], The Early Stage Digital Health Investment (EDIT) tool is the recommended tool. </t>
  </si>
  <si>
    <t>Based on your main assessment goal [and additional criteria], the Early Stage Digital Health Investment Tool (EDIT)  is recommended.</t>
  </si>
  <si>
    <t>IMM Subdomain</t>
  </si>
  <si>
    <t>IMM Subdomain Description</t>
  </si>
  <si>
    <t>Human Resources Capacity (Skills and Numbers)</t>
  </si>
  <si>
    <t>Compliance with Data Exchange Standards</t>
  </si>
  <si>
    <t>Adherence to organizational policies, procedures, and best practices related to HIS, including standards for data exchange, messaging, and security. This also includes adherence to applicable laws, relevant industry standards, and internal policies (e.g., codes of conduct).</t>
  </si>
  <si>
    <t xml:space="preserve">Data Management </t>
  </si>
  <si>
    <t>National HIS Enterprise Architecture</t>
  </si>
  <si>
    <t>Interoperability Guidance Documents</t>
  </si>
  <si>
    <t>Existence of national department/agency/ unit/coordinating body for digital health</t>
  </si>
  <si>
    <t>Governance Structure for HIS</t>
  </si>
  <si>
    <t>Adherence to organizational policies, procedures, and best practices related to HIS, including standards for data exchange, messaging, and security. Includes adherence to applicable laws, relevant industry standards, and internal policies (e.g., codes of conduct).</t>
  </si>
  <si>
    <t>Financial Resource Mobilization</t>
  </si>
  <si>
    <t>HIS Interoperability Monitoring and Evaluation</t>
  </si>
  <si>
    <t>Communication Network: Local Area Network and Wide Area Network</t>
  </si>
  <si>
    <t>Operations and Maintenance (for computer technology)</t>
  </si>
  <si>
    <t xml:space="preserve">IT Infrastructure </t>
  </si>
  <si>
    <t>Use and availability of data standards, identifiers, standards for interoperability, and a national health information architecture.</t>
  </si>
  <si>
    <t xml:space="preserve">Standards for Quality and Interoperability </t>
  </si>
  <si>
    <t>Budget for IS4H implementation, sustainability, and investment. Resource mobilization plans and ERP systems.</t>
  </si>
  <si>
    <t>Financial Resources</t>
  </si>
  <si>
    <t xml:space="preserve">Legislation, Policy, and Compliance </t>
  </si>
  <si>
    <t>Organizational structure &amp; information flows of health-related institutions. Roles and responsibilities of IS4H health system actors.</t>
  </si>
  <si>
    <t xml:space="preserve">Organizational Structure and Functions </t>
  </si>
  <si>
    <t>Leadership and Coordination</t>
  </si>
  <si>
    <t>Digital Health</t>
  </si>
  <si>
    <t xml:space="preserve">Knowledge Architecture </t>
  </si>
  <si>
    <t>Human Resources</t>
  </si>
  <si>
    <t>Knowledge Processes</t>
  </si>
  <si>
    <t>IS4H Domain Description</t>
  </si>
  <si>
    <t xml:space="preserve">IS4H Domain </t>
  </si>
  <si>
    <t>SCORE Code Description</t>
  </si>
  <si>
    <t>SOCI HIS Subcomponent</t>
  </si>
  <si>
    <t>SOCI HIS Subcomponent Description</t>
  </si>
  <si>
    <t>HIS competencies (knowledge, skills, and abilities)</t>
  </si>
  <si>
    <t>Data management</t>
  </si>
  <si>
    <t>Existence of HIS policies and legislation</t>
  </si>
  <si>
    <t>HIS standard guidelines</t>
  </si>
  <si>
    <t xml:space="preserve">Unique person identity management </t>
  </si>
  <si>
    <t>HIS leadership and coordination</t>
  </si>
  <si>
    <t>HIS organization structure and function</t>
  </si>
  <si>
    <t>Policy compliance enforcement</t>
  </si>
  <si>
    <t xml:space="preserve">Based on your main assessment goal [and additional criteria], the Global Digital Health Index (GDHI) is the recommended tool. </t>
  </si>
  <si>
    <t>GDHI Code</t>
  </si>
  <si>
    <t>GDHI Indicator Description</t>
  </si>
  <si>
    <t xml:space="preserve">IMM Code </t>
  </si>
  <si>
    <t>IMM Indicator Description</t>
  </si>
  <si>
    <t>All activities involved in securing new and additional financial resources for an organization (in this case, the HIS). It also involves making better use of and maximizing existing financial resources.</t>
  </si>
  <si>
    <t>Indicator 5 - Legal Framework for Data Protection (Security)</t>
  </si>
  <si>
    <t>Data ethics</t>
  </si>
  <si>
    <t>Data ethics addresses the moral dimensions of data management. This includes ensuring adherence to ethical principles throughout data generation, recording, curation, processing, dissemination, sharing, and use. Ethical practices should strive to ensure respect for the people behind the data; use of data in accordance with the intentions of the disclosing party; matching privacy and security safeguards to the expectation of individuals and populations from whom data are drawn; and following the law regarding personal health data privacy and security. These practices are also sometimes referred to as responsible data practices.</t>
  </si>
  <si>
    <t>G.D.1</t>
  </si>
  <si>
    <t>Indicator 9 - Digital health integrated in health and related professional pre-service training (prior to deployment)</t>
  </si>
  <si>
    <t>Is digital health part of curriculum for health and health-related support professionals in training, in general?</t>
  </si>
  <si>
    <t>M.B.3</t>
  </si>
  <si>
    <t>Human resource capacity development</t>
  </si>
  <si>
    <t>An organized activity with clear learning outcomes that aims to impart knowledge and skills, shape attitudes, and develop specific competencies and capabilities in personnel.</t>
  </si>
  <si>
    <t>National HIS enterprise architecture</t>
  </si>
  <si>
    <t>Indicator 14 - Health information standards</t>
  </si>
  <si>
    <t>Operations and maintenance</t>
  </si>
  <si>
    <t>M.C.7</t>
  </si>
  <si>
    <t>Hardware</t>
  </si>
  <si>
    <t>An assembly of tangible physical parts of a system of computers, including servers and virtual private networks that provide services to a user in the HIS.</t>
  </si>
  <si>
    <t>G.G.1</t>
  </si>
  <si>
    <t>Indicator 17 - Nationally scaled digital health systems</t>
  </si>
  <si>
    <t>G.G.3</t>
  </si>
  <si>
    <t>Indicator 19 - Maturity of public sector digital health professional careers</t>
  </si>
  <si>
    <t>M.B.1</t>
  </si>
  <si>
    <t xml:space="preserve">Human Resources Policy </t>
  </si>
  <si>
    <t>A set of principles, guidelines, and norms that an organization adopts to help manage its employees.</t>
  </si>
  <si>
    <t xml:space="preserve">SOCI Code </t>
  </si>
  <si>
    <t>SOCI Subcomponent Description</t>
  </si>
  <si>
    <t>Indicator 19 - Digital identity management of individuals for health</t>
  </si>
  <si>
    <t>Indicator 11 - Training of digital health workforce</t>
  </si>
  <si>
    <t>G.D.3.a</t>
  </si>
  <si>
    <t>Indicator 11a - Training of digital health workforce</t>
  </si>
  <si>
    <t>Specifically, is training in health and/or biomedical informatics (in either public or private institutions) producing trained informaticists or health information systems specialists?</t>
  </si>
  <si>
    <t>Indicator 12 - Maturity of public sector digital health professional careers</t>
  </si>
  <si>
    <t>Indicator 15 - Network readiness</t>
  </si>
  <si>
    <t>Indicator 19b - Digital identity management of individuals for health</t>
  </si>
  <si>
    <t xml:space="preserve">IS4H Code </t>
  </si>
  <si>
    <t>IS4H Domain</t>
  </si>
  <si>
    <t>IS4H Indicator Description</t>
  </si>
  <si>
    <t>DMIT4</t>
  </si>
  <si>
    <t>Data Governance</t>
  </si>
  <si>
    <t xml:space="preserve">Health data governance is the framework for establishing national and sub-national strategies, objectives, policies, standards, and tools for the management of technical data, which is supported by a legal framework. </t>
  </si>
  <si>
    <t>G.A.2</t>
  </si>
  <si>
    <t>Indicator 2 - Digital health prioritized at the national level through planning</t>
  </si>
  <si>
    <t>Is digital health included and budgeted for in national health or relevant national strategies and/or plan(s)? The focus of this indicator is on the inclusion of digital health or eHealth in the national health strategy.</t>
  </si>
  <si>
    <t>MAGO2</t>
  </si>
  <si>
    <t>Strategic and Operational Plans</t>
  </si>
  <si>
    <t xml:space="preserve">Based on your main assessment goal [and additional criteria], the Global Digital Health Index (GDHI) is the recommended tool. tool. </t>
  </si>
  <si>
    <t xml:space="preserve">SCORE Code </t>
  </si>
  <si>
    <t>SCORE Indicator Description</t>
  </si>
  <si>
    <t>Based on your main assessment goal [and additional criteria], the HIS Interoperability Maturity Model (IMM) is the recommended tool.</t>
  </si>
  <si>
    <t>IMM Subdomain Definition</t>
  </si>
  <si>
    <t xml:space="preserve">GDHI Indicator Check </t>
  </si>
  <si>
    <t>M.C.2</t>
  </si>
  <si>
    <t>Technical Standards</t>
  </si>
  <si>
    <t>An established norm based on a set of requirements, specifications, guidelines, or characteristics that can be used consistently to ensure that digital health systems, health information services, and processes are appropriate for their purpose. Standards provide a common language and set of expectations that enable interoperability among systems and/or devices. The technical standards include standards for data exchange, transmission, messaging, security, privacy, and hardware.</t>
  </si>
  <si>
    <t>I.A.2</t>
  </si>
  <si>
    <t>M&amp;E plan</t>
  </si>
  <si>
    <t>A framework for regular evaluation (both formative and summative) of HIS activities and implementations to measure progress on milestones and goals in the delivery of healthcare services and to ensure alignment of HIS activities with HIS strategy and the desired impact on service delivery.</t>
  </si>
  <si>
    <t>M.A.6</t>
  </si>
  <si>
    <t>Business Continuity</t>
  </si>
  <si>
    <t>Business continuity is the capability of the organization to continue the delivery of products or services at acceptable predefined levels following a disruptive incident. Business continuity is about devising plans and strategies that enable an organization to continue business operations, and enable it to recover quickly and effectively from any type of disruption, whatever its size or cause. Interoperability will not function as intended if the HIS and all its components do not function correctly. Therefore, business continuity of the national HIS is imperative for continuity of strong interoperability services of HIS. This includes putting in place systems for data recovery, continuity of healthcare, continuous flow of funding, staff transition plans, etc.</t>
  </si>
  <si>
    <t>III.C.1</t>
  </si>
  <si>
    <t>Business continuity and processes and policies</t>
  </si>
  <si>
    <t xml:space="preserve">Business continuity is about devising plans and strategies that enable an organization to continue business operations and enable it to recover quickly and effectively from any type of disruption, whatever its size or cause. </t>
  </si>
  <si>
    <t>M.A.7</t>
  </si>
  <si>
    <t>Financial Management</t>
  </si>
  <si>
    <t>The legal and administrative systems and procedures put in place permitting a government ministry and its agencies and organizations to conduct activities that ensure the correct use of public funds, and which meet defined standards of probity and regularity. Activities include management and control of public expenditures, financial accounting, reporting, and asset management, in some cases.</t>
  </si>
  <si>
    <t>II.B.1</t>
  </si>
  <si>
    <t>HIS financing plan</t>
  </si>
  <si>
    <t>The legal and administrative systems and procedures in place that permit a government ministry and its agencies and organizations to conduct activities that ensure the correct use of public funds and that meet defined standards of probity and regularity. Activities include management and control of public expenditures, financial accounting, reporting, and asset management, in some cases.</t>
  </si>
  <si>
    <t>II.B.2</t>
  </si>
  <si>
    <t>Resource mobilization</t>
  </si>
  <si>
    <t>Human Resources Policy</t>
  </si>
  <si>
    <t>II.A.3</t>
  </si>
  <si>
    <t>HR Policy</t>
  </si>
  <si>
    <t>Human Resources Capacity Development</t>
  </si>
  <si>
    <t>II.A.2</t>
  </si>
  <si>
    <t>HIS training and education (includes continuous professional development)</t>
  </si>
  <si>
    <t>IV.B.5</t>
  </si>
  <si>
    <t>Enterprise architecture</t>
  </si>
  <si>
    <t>Enterprise architecture (EA) is a method and an organizing principle that aligns functional business objectives and strategies with an information technology (IT) strategy and execution plan. When a country uses an EA to organize its health information system, it is a national EA.</t>
  </si>
  <si>
    <t>III.A.3</t>
  </si>
  <si>
    <t xml:space="preserve">An assembly of tangible physical parts of a system of computers, including servers and virtual private networks (VPNs), which forms the foundation upon which activities for HIS and electronic exchange across services and geographic and health sector boundaries are implemented. </t>
  </si>
  <si>
    <t>III.B.1</t>
  </si>
  <si>
    <t>Networks and Internet connectivity</t>
  </si>
  <si>
    <t>T.A.1.a</t>
  </si>
  <si>
    <t>Workforce digital literacy</t>
  </si>
  <si>
    <t>T.B.1.a/b</t>
  </si>
  <si>
    <t>T.F.2.f</t>
  </si>
  <si>
    <t>Appropriately supported data storage center/servers</t>
  </si>
  <si>
    <t>O3.3</t>
  </si>
  <si>
    <t>National human resources health information system is in place and functional</t>
  </si>
  <si>
    <t xml:space="preserve">Based on your main assessment goal [and additional criteria], the HIS Stages of Continuous Improvement (SOCI) toolkit is recommended. </t>
  </si>
  <si>
    <t>SOCI Indicator Description</t>
  </si>
  <si>
    <t>III.A.1</t>
  </si>
  <si>
    <t>Reliable power/electricity</t>
  </si>
  <si>
    <t>Supply of power for relevant offices to enable use of health information systems for management and use of health (individual, population, and program) data.</t>
  </si>
  <si>
    <t>V.A.1</t>
  </si>
  <si>
    <t>Data quality assurance and quality control</t>
  </si>
  <si>
    <t>Efforts or activities aimed at ensuring that reported data and results accurately reflect actual health system outputs. This includes data quality assessments and data quality assurance practices.</t>
  </si>
  <si>
    <t>V.B.1</t>
  </si>
  <si>
    <t>Data use availability strategy</t>
  </si>
  <si>
    <t>Based on information needs, includes procedures and policies for data reporting, data dissemination, and production of targeted information products for use in decision making and health sector planning.</t>
  </si>
  <si>
    <t>V.B.4</t>
  </si>
  <si>
    <t>User/stakeholder engagement</t>
  </si>
  <si>
    <t>Guidance (methods, processes, and practices) for user engagement in data-based progress review and performance monitoring and assessments.</t>
  </si>
  <si>
    <t>T.C.3.b</t>
  </si>
  <si>
    <t xml:space="preserve">Structured process for engaging key stakeholders including other government agencies, system users, civil society organizations, funders, technical partners, implementers and private sector </t>
  </si>
  <si>
    <t>V.B.2</t>
  </si>
  <si>
    <t>Information/data availability</t>
  </si>
  <si>
    <t>The process through which data are made accessible and through which platforms are able to support analysis and use of data to support decision making.</t>
  </si>
  <si>
    <t>INNO6</t>
  </si>
  <si>
    <t>Open Government</t>
  </si>
  <si>
    <t xml:space="preserve">Public access and effective oversight to government documents and proceedings. Open Data principles application and data sets availability. </t>
  </si>
  <si>
    <t>E2.1</t>
  </si>
  <si>
    <t>Health statistics are publicly available</t>
  </si>
  <si>
    <t>Based on your main assessment goal [and additional criteria], the Information Systems for Health (IS4H) tool is recommended.</t>
  </si>
  <si>
    <t>INNO2</t>
  </si>
  <si>
    <t xml:space="preserve">Health Analysis for Decision Making </t>
  </si>
  <si>
    <t xml:space="preserve">A systematic approach for health needs assessments; accessibility of essential information; advanced analytical techniques to support real time clinical, management, policy and decision making. </t>
  </si>
  <si>
    <t>MAGO6</t>
  </si>
  <si>
    <t xml:space="preserve">Relations with public and private key stakeholders at the national and international level. </t>
  </si>
  <si>
    <t xml:space="preserve">Based on your main assessment goal [and additional criteria], the WHO Survey, Count, Optimize, Review, Enable (SCORE) tool is recommended.				 </t>
  </si>
  <si>
    <t>Based on your main assessment goal [and additional criteria], the WHO Survey, Count, Optimize, Review, Enable (SCORE) tool is recommended.</t>
  </si>
  <si>
    <t>E3.3</t>
  </si>
  <si>
    <t>Maturity of public sector digital health professional careers</t>
  </si>
  <si>
    <t>Long term plan in place to grow and sustain staff with various needed skills to maintain HIS, digital HIS, and interoperability skills and functions.</t>
  </si>
  <si>
    <t>Training of digital health workforce</t>
  </si>
  <si>
    <t>Human Resource Capacity Development</t>
  </si>
  <si>
    <t>Capacity to train HIS staff and build digital HIS skills based on a nationally recognized HIS curriculum.  Partnerships between in-service training and other training institutions.</t>
  </si>
  <si>
    <t>T.E.1.a</t>
  </si>
  <si>
    <t>Digital health strategy or plan costed and funded</t>
  </si>
  <si>
    <t>T.D.4.b</t>
  </si>
  <si>
    <t>Digital Health Solution evaluations and evidence</t>
  </si>
  <si>
    <t>Technical standards</t>
  </si>
  <si>
    <t>Multisectoral Collaboration</t>
  </si>
  <si>
    <t>DMIT1</t>
  </si>
  <si>
    <t>Data Sources</t>
  </si>
  <si>
    <t>Health data is routinely collected from key data sources using a variety of tools.  Data may be available in near-real time to support decision making.</t>
  </si>
  <si>
    <t>DMIT2</t>
  </si>
  <si>
    <t>Information Products</t>
  </si>
  <si>
    <t>Information products are produced from a range of data sources and made available to stakeholders.</t>
  </si>
  <si>
    <t>Regular supportive staff supervision</t>
  </si>
  <si>
    <t>G.D.2</t>
  </si>
  <si>
    <t>Indicator 10 - Digital health integrated in health and related professional in-service training (after deployment)</t>
  </si>
  <si>
    <t>Is digital heath part of curriculum for health and health-related support professionals in the workforce in general?</t>
  </si>
  <si>
    <t>Indicator 5 - Legal framework for data protection (security)</t>
  </si>
  <si>
    <t>Indicator 2 - Digital health prioritized at the national level through planning</t>
  </si>
  <si>
    <t>Is digital health included and budgeted for in national health or relevant national strategies and/or plans?</t>
  </si>
  <si>
    <t>Existence of a national digital health architecture and/or health information exchange</t>
  </si>
  <si>
    <t>I.A.1</t>
  </si>
  <si>
    <t>HIS strategic planning</t>
  </si>
  <si>
    <t>T.C.3.B</t>
  </si>
  <si>
    <t>T.D.1.c</t>
  </si>
  <si>
    <t>Standardized indicator definitions</t>
  </si>
  <si>
    <t>IV.A.2</t>
  </si>
  <si>
    <t>Data set definitions (clinical, laboratory, commodities, and indicator)</t>
  </si>
  <si>
    <t>Common data sets, such as those defining clinical care, surveillance, and/or M&amp;E programs, are defined along with distinct data elements.</t>
  </si>
  <si>
    <t>T.D.1.e</t>
  </si>
  <si>
    <t>Standard operating procedures (SOPs) for recording of data</t>
  </si>
  <si>
    <t>T.D.2.a</t>
  </si>
  <si>
    <t>General principles for analysis of facility data</t>
  </si>
  <si>
    <t>V.B.1.</t>
  </si>
  <si>
    <t>T.D.2.c</t>
  </si>
  <si>
    <t>Data culture</t>
  </si>
  <si>
    <t>T.D.3.a</t>
  </si>
  <si>
    <t>Data review processes, data quality check (two diff indicators)</t>
  </si>
  <si>
    <t>Monitoring and evaluation (M&amp;E) plan</t>
  </si>
  <si>
    <t>Ongoing monitoring and evaluation plan used on HIS activities and implementation to ensure desired impact and continuous improvement.</t>
  </si>
  <si>
    <t>T.E.2.a</t>
  </si>
  <si>
    <t>Existence of a costed plan for strengthening and maintaining national electrication</t>
  </si>
  <si>
    <t>Compliance with data exchange standards</t>
  </si>
  <si>
    <t>G.C.3</t>
  </si>
  <si>
    <t>Indicator 7 - Protocol for regulating or certifying devices and/or digital health services</t>
  </si>
  <si>
    <t>Public sector priorities are supported by nationally-scaled digital health systems.</t>
  </si>
  <si>
    <t>MAGO8</t>
  </si>
  <si>
    <t>National and International Agreements</t>
  </si>
  <si>
    <t>Indicator 9 - Digital health integrated in health and related professional pre-service training (prior to deployment)</t>
  </si>
  <si>
    <t>Indicator 3 - National eHealth/Digital Health Strategy or Framework</t>
  </si>
  <si>
    <t>An HIS strategic plan sets out, in the context of the health priorities of the country, a vision for management and use of health information (electronic or other), a plan of action for delivering the vision, and arrangements for M&amp;E.</t>
  </si>
  <si>
    <t>Is digital health part of curriculum for health and health-related support professionals in training, in general? (prior to deployment)</t>
  </si>
  <si>
    <t>Indicator 10 - Digital health integrated in health and related professional in-service training (after deployment)</t>
  </si>
  <si>
    <t>Is digital health part of curriculum for health and health-related support professionals in the workforce in general? (after deployment)</t>
  </si>
  <si>
    <t>IV.A.3</t>
  </si>
  <si>
    <t>Data exchange standards</t>
  </si>
  <si>
    <t>A data exchange standard is a widely adopted model for organizing electronic information in a common format, such as XML, so that systems (e.g., databases, applications, etc.) not directly linked to one another can share information with others using the same model.</t>
  </si>
  <si>
    <t>III.A.2</t>
  </si>
  <si>
    <t>ICT business infrastructure</t>
  </si>
  <si>
    <t>Design and planning, operations management, and technical support for HIS ICT infrastructure maintenance.</t>
  </si>
  <si>
    <t xml:space="preserve">Based on your main assessment goal [and additional criteria], the HIS Interoperability Maturity Model (IMM) is the recommended tool. </t>
  </si>
  <si>
    <t>INNO7</t>
  </si>
  <si>
    <t>Preparedness and Resilience</t>
  </si>
  <si>
    <t xml:space="preserve">Capacity of the information systems for health to operate during and after emergencies and disasters requires the development and application of special operating procedures to ensure access to the right information at the right moment in the right format. </t>
  </si>
  <si>
    <t xml:space="preserve">Based on your main assessment goal [and additional criteria], the Information Systems for Health (IS4H) toolkit is the recommended tool. </t>
  </si>
  <si>
    <t>V.B.9</t>
  </si>
  <si>
    <t>Decision support (clinical or other)</t>
  </si>
  <si>
    <t>Decision support (DS) provides program and resource managers, clinicians, staff, patients, or other people with knowledge and program-specific and/or person-specific information, intelligently filtered or presented at appropriate times, to enhance health and healthcare. DS encompasses a variety of tools to enhance decision making in the program and/or clinical workflow. These tools include computerized alerts and reminders to managers, care providers, and patients; clinical guidelines; condition-specific order sets; focused patient data reports and summaries; documentation templates; diagnostic support; and contextually relevant reference information, among other tools.</t>
  </si>
  <si>
    <t>Foundational elements to promote data use and access are present</t>
  </si>
  <si>
    <t>Is there a law to protect individual privacy, governing ownership, access and sharing of individually identifiable digital health data?</t>
  </si>
  <si>
    <t>Navigator Hyperlink (access all components of the Navigator)</t>
  </si>
  <si>
    <t>https://wiki.digitalsquare.io/index.php/Navigator_for_Digital_Health_Capability_Models</t>
  </si>
  <si>
    <r>
      <t xml:space="preserve">2) If instructed to do so, please select the </t>
    </r>
    <r>
      <rPr>
        <b/>
        <sz val="11"/>
        <color theme="1"/>
        <rFont val="Arial"/>
        <family val="2"/>
        <scheme val="minor"/>
      </rPr>
      <t>Enable Content</t>
    </r>
    <r>
      <rPr>
        <sz val="11"/>
        <color theme="1"/>
        <rFont val="Arial"/>
        <family val="2"/>
        <scheme val="minor"/>
      </rPr>
      <t xml:space="preserve"> button in the yellow ribbon under the toolbar. This will enable you to enter data in the</t>
    </r>
    <r>
      <rPr>
        <b/>
        <sz val="11"/>
        <color theme="1"/>
        <rFont val="Arial"/>
        <family val="2"/>
        <scheme val="minor"/>
      </rPr>
      <t xml:space="preserve"> Tool Selection </t>
    </r>
    <r>
      <rPr>
        <sz val="11"/>
        <color theme="1"/>
        <rFont val="Arial"/>
        <family val="2"/>
        <scheme val="minor"/>
      </rPr>
      <t>tab. You will also need to save this Excel file to your computer before entering data.</t>
    </r>
  </si>
  <si>
    <r>
      <t xml:space="preserve">3c) Click the </t>
    </r>
    <r>
      <rPr>
        <b/>
        <sz val="11"/>
        <color theme="1"/>
        <rFont val="Arial"/>
        <family val="2"/>
        <scheme val="minor"/>
      </rPr>
      <t>Process</t>
    </r>
    <r>
      <rPr>
        <sz val="11"/>
        <color theme="1"/>
        <rFont val="Arial"/>
        <family val="2"/>
        <scheme val="minor"/>
      </rPr>
      <t xml:space="preserve"> button. A tool(s) that aligns with the selected goal statement(s) will be shown in the top output table.</t>
    </r>
  </si>
  <si>
    <r>
      <t xml:space="preserve">3e) If you were prompted to </t>
    </r>
    <r>
      <rPr>
        <b/>
        <sz val="11"/>
        <color theme="1"/>
        <rFont val="Arial"/>
        <family val="2"/>
        <scheme val="minor"/>
      </rPr>
      <t>select additional criteria</t>
    </r>
    <r>
      <rPr>
        <sz val="11"/>
        <color theme="1"/>
        <rFont val="Arial"/>
        <family val="2"/>
        <scheme val="minor"/>
      </rPr>
      <t xml:space="preserve">, three more questions will appear in column A. You may select additional criteria under one or more of the questions, depending on your needs. </t>
    </r>
    <r>
      <rPr>
        <i/>
        <sz val="11"/>
        <color theme="1"/>
        <rFont val="Arial"/>
        <family val="2"/>
        <scheme val="minor"/>
      </rPr>
      <t>You must make at least one more additional selection.</t>
    </r>
    <r>
      <rPr>
        <sz val="11"/>
        <color theme="1"/>
        <rFont val="Arial"/>
        <family val="2"/>
        <scheme val="minor"/>
      </rPr>
      <t xml:space="preserve"> The output table will return the tool that best fits your selected additional criteria. </t>
    </r>
    <r>
      <rPr>
        <i/>
        <sz val="11"/>
        <color theme="1"/>
        <rFont val="Arial"/>
        <family val="2"/>
        <scheme val="minor"/>
      </rPr>
      <t>Note: You may need to scroll back up in the tab to see all the questions.</t>
    </r>
  </si>
  <si>
    <r>
      <t>3g) For the</t>
    </r>
    <r>
      <rPr>
        <b/>
        <sz val="11"/>
        <color theme="1"/>
        <rFont val="Arial"/>
        <family val="2"/>
        <scheme val="minor"/>
      </rPr>
      <t xml:space="preserve"> "What assessment method(s) do available resources support?" </t>
    </r>
    <r>
      <rPr>
        <sz val="11"/>
        <color theme="1"/>
        <rFont val="Arial"/>
        <family val="2"/>
        <scheme val="minor"/>
      </rPr>
      <t>question, indicate what assessment methods are feasible given your available resources. Select all that apply.</t>
    </r>
  </si>
  <si>
    <r>
      <t xml:space="preserve">5) To use the tool again, click the </t>
    </r>
    <r>
      <rPr>
        <b/>
        <sz val="11"/>
        <color theme="1"/>
        <rFont val="Arial"/>
        <family val="2"/>
        <scheme val="minor"/>
      </rPr>
      <t>Reset</t>
    </r>
    <r>
      <rPr>
        <sz val="11"/>
        <color theme="1"/>
        <rFont val="Arial"/>
        <family val="2"/>
        <scheme val="minor"/>
      </rPr>
      <t xml:space="preserve"> button.</t>
    </r>
  </si>
  <si>
    <t>The HIS Stages of Continuous Improvement (SOCI) Toolkit was collaboratively designed to help countries or organizations holistically assess, plan, and prioritize interventions and investments to strengthen an HIS. The toolkit was jointly developed by MEASURE Evaluation, the Centers for Disease Control and Prevention, and the DH&amp;I working group.</t>
  </si>
  <si>
    <r>
      <rPr>
        <b/>
        <sz val="12"/>
        <color rgb="FF000000"/>
        <rFont val="Arial"/>
        <family val="2"/>
        <scheme val="minor"/>
      </rPr>
      <t>Areas of assessment (Building Blocks):</t>
    </r>
    <r>
      <rPr>
        <sz val="12"/>
        <color rgb="FF000000"/>
        <rFont val="Arial"/>
        <family val="2"/>
        <scheme val="minor"/>
      </rPr>
      <t xml:space="preserve"> Human capacity, investments and funding, data capture and use, infrastructure, standards and interoperability, governance and policy</t>
    </r>
  </si>
  <si>
    <r>
      <rPr>
        <b/>
        <sz val="12"/>
        <color rgb="FF000000"/>
        <rFont val="Arial"/>
        <family val="2"/>
        <scheme val="minor"/>
      </rPr>
      <t>Attributes:</t>
    </r>
    <r>
      <rPr>
        <sz val="12"/>
        <color rgb="FF000000"/>
        <rFont val="Arial"/>
        <family val="2"/>
        <scheme val="minor"/>
      </rPr>
      <t xml:space="preserve"> Includes six essential building blocks, with 19 respective subcategories, and 71 total indicators. Indicators are categorized as information, enabling, or critical.</t>
    </r>
  </si>
  <si>
    <r>
      <rPr>
        <b/>
        <sz val="12"/>
        <color rgb="FF000000"/>
        <rFont val="Arial"/>
        <family val="2"/>
        <scheme val="minor"/>
      </rPr>
      <t>Intended user of findings:</t>
    </r>
    <r>
      <rPr>
        <sz val="12"/>
        <color rgb="FF000000"/>
        <rFont val="Arial"/>
        <family val="2"/>
        <scheme val="minor"/>
      </rPr>
      <t xml:space="preserve"> Governments (including ministries of health), private companies, NGOs, and donors</t>
    </r>
  </si>
  <si>
    <r>
      <rPr>
        <b/>
        <sz val="12"/>
        <color rgb="FF000000"/>
        <rFont val="Arial"/>
        <family val="2"/>
        <scheme val="minor"/>
      </rPr>
      <t>Areas of assessment:</t>
    </r>
    <r>
      <rPr>
        <sz val="12"/>
        <color rgb="FF000000"/>
        <rFont val="Arial"/>
        <family val="2"/>
        <scheme val="minor"/>
      </rPr>
      <t xml:space="preserve"> Leadership and governance; strategy and assessment; legislation, policy, and compliance; workforce; standards and interoperability; infrastructure; and services and applications.</t>
    </r>
  </si>
  <si>
    <r>
      <rPr>
        <b/>
        <sz val="12"/>
        <color rgb="FF000000"/>
        <rFont val="Arial"/>
        <family val="2"/>
        <scheme val="minor"/>
      </rPr>
      <t>Assessment scale:</t>
    </r>
    <r>
      <rPr>
        <sz val="12"/>
        <color rgb="FF000000"/>
        <rFont val="Arial"/>
        <family val="2"/>
        <scheme val="minor"/>
      </rPr>
      <t xml:space="preserve"> Five maturity phases</t>
    </r>
  </si>
  <si>
    <r>
      <rPr>
        <b/>
        <sz val="12"/>
        <color rgb="FF000000"/>
        <rFont val="Century Gothic "/>
      </rPr>
      <t xml:space="preserve">Attributes: </t>
    </r>
    <r>
      <rPr>
        <sz val="12"/>
        <color rgb="FF000000"/>
        <rFont val="Century Gothic "/>
      </rPr>
      <t>The HIS maturity model consists of a matrix made up of three domains and 18 subdomains.</t>
    </r>
  </si>
  <si>
    <r>
      <rPr>
        <b/>
        <sz val="12"/>
        <color rgb="FF000000"/>
        <rFont val="Century Gothic "/>
      </rPr>
      <t>Areas of assessment:</t>
    </r>
    <r>
      <rPr>
        <sz val="12"/>
        <color rgb="FF000000"/>
        <rFont val="Century Gothic "/>
      </rPr>
      <t xml:space="preserve"> Leadership and governance, human resources, technology </t>
    </r>
  </si>
  <si>
    <r>
      <rPr>
        <b/>
        <sz val="12"/>
        <color rgb="FF000000"/>
        <rFont val="Century Gothic "/>
      </rPr>
      <t>Client countries:</t>
    </r>
    <r>
      <rPr>
        <sz val="12"/>
        <color rgb="FF000000"/>
        <rFont val="Century Gothic "/>
      </rPr>
      <t xml:space="preserve"> Fourteen Latin American and Caribbean countries</t>
    </r>
  </si>
  <si>
    <r>
      <rPr>
        <b/>
        <sz val="12"/>
        <color rgb="FF000000"/>
        <rFont val="Century Gothic "/>
      </rPr>
      <t xml:space="preserve">Attributes: </t>
    </r>
    <r>
      <rPr>
        <sz val="12"/>
        <color rgb="FF000000"/>
        <rFont val="Century Gothic "/>
      </rPr>
      <t>Four strategic goals, 26 components</t>
    </r>
  </si>
  <si>
    <r>
      <rPr>
        <b/>
        <sz val="12"/>
        <color rgb="FF000000"/>
        <rFont val="Century Gothic "/>
      </rPr>
      <t>Assessment scale:</t>
    </r>
    <r>
      <rPr>
        <sz val="12"/>
        <color rgb="FF000000"/>
        <rFont val="Century Gothic "/>
      </rPr>
      <t xml:space="preserve"> Five maturity levels</t>
    </r>
  </si>
  <si>
    <r>
      <rPr>
        <b/>
        <sz val="12"/>
        <color rgb="FF000000"/>
        <rFont val="Arial"/>
        <family val="2"/>
        <scheme val="minor"/>
      </rPr>
      <t>Methodology:</t>
    </r>
    <r>
      <rPr>
        <sz val="12"/>
        <color rgb="FF000000"/>
        <rFont val="Arial"/>
        <family val="2"/>
        <scheme val="minor"/>
      </rPr>
      <t xml:space="preserve"> A country scores 1–5 for each of the five intervention categories in the SCORE package. Each intervention is divided into key elements, which are further divided into indicators. Indicators are defined by a set of attributes or items. Scoring begins at the indicator level by assessing the attributes. Indicators are scored based on a country’s current capacity.</t>
    </r>
    <r>
      <rPr>
        <vertAlign val="superscript"/>
        <sz val="12"/>
        <color rgb="FF000000"/>
        <rFont val="Arial"/>
        <family val="2"/>
        <scheme val="minor"/>
      </rPr>
      <t>1</t>
    </r>
  </si>
  <si>
    <r>
      <rPr>
        <b/>
        <sz val="12"/>
        <color rgb="FF000000"/>
        <rFont val="Arial"/>
        <family val="2"/>
        <scheme val="minor"/>
      </rPr>
      <t>Assessment scale:</t>
    </r>
    <r>
      <rPr>
        <sz val="12"/>
        <color rgb="FF000000"/>
        <rFont val="Arial"/>
        <family val="2"/>
        <scheme val="minor"/>
      </rPr>
      <t xml:space="preserve"> Each indicator is given a score from 1–5.</t>
    </r>
  </si>
  <si>
    <r>
      <rPr>
        <b/>
        <sz val="12"/>
        <color rgb="FF000000"/>
        <rFont val="Arial"/>
        <family val="2"/>
        <scheme val="minor"/>
      </rPr>
      <t xml:space="preserve">Client countries: </t>
    </r>
    <r>
      <rPr>
        <sz val="12"/>
        <color rgb="FF000000"/>
        <rFont val="Arial"/>
        <family val="2"/>
        <scheme val="minor"/>
      </rPr>
      <t>Includes</t>
    </r>
    <r>
      <rPr>
        <b/>
        <sz val="12"/>
        <color rgb="FF000000"/>
        <rFont val="Arial"/>
        <family val="2"/>
        <scheme val="minor"/>
      </rPr>
      <t xml:space="preserve"> </t>
    </r>
    <r>
      <rPr>
        <sz val="12"/>
        <color rgb="FF000000"/>
        <rFont val="Arial"/>
        <family val="2"/>
        <scheme val="minor"/>
      </rPr>
      <t>133 countries across Africa, Americas, Eastern Mediterranean, Europe, South-East Asia, and Western Pacific UN-designated regions.</t>
    </r>
  </si>
  <si>
    <r>
      <rPr>
        <b/>
        <sz val="12"/>
        <color rgb="FF000000"/>
        <rFont val="Arial"/>
        <family val="2"/>
        <scheme val="minor"/>
      </rPr>
      <t xml:space="preserve">Areas of assessment: </t>
    </r>
    <r>
      <rPr>
        <sz val="12"/>
        <color rgb="FF000000"/>
        <rFont val="Arial"/>
        <family val="2"/>
        <scheme val="minor"/>
      </rPr>
      <t>Leadership and governance, management and workforce, ICT infrastructure, standards and interoperability, HIS data quality and use</t>
    </r>
  </si>
  <si>
    <r>
      <rPr>
        <b/>
        <sz val="20"/>
        <color rgb="FFFF0000"/>
        <rFont val="Arial"/>
        <family val="2"/>
      </rPr>
      <t xml:space="preserve">Tool Selection
--------------------------------------------------------------------------------------
</t>
    </r>
    <r>
      <rPr>
        <b/>
        <sz val="10"/>
        <color theme="1"/>
        <rFont val="Arial"/>
        <family val="2"/>
      </rPr>
      <t xml:space="preserve">This tab provides suggestions of which tool (s) best fits your goal (s) in conducting an assessment.  
Begin with the question below: "What is (are) the main goal (s) of conducting an assessment?" 
</t>
    </r>
    <r>
      <rPr>
        <b/>
        <sz val="10"/>
        <color rgb="FFFF0000"/>
        <rFont val="Arial"/>
        <family val="2"/>
      </rPr>
      <t>You may select up to two goals</t>
    </r>
    <r>
      <rPr>
        <b/>
        <sz val="10"/>
        <color theme="1"/>
        <rFont val="Arial"/>
        <family val="2"/>
      </rPr>
      <t xml:space="preserve"> by checking the corresponding boxes in Column B. If more than one tool aligns with the selected goal (s), you will be prompted to answer additional questions to narrow the selection. 
</t>
    </r>
    <r>
      <rPr>
        <b/>
        <i/>
        <sz val="10"/>
        <color theme="1"/>
        <rFont val="Arial"/>
        <family val="2"/>
      </rPr>
      <t>Please refer to the Instructions tab for more information</t>
    </r>
  </si>
  <si>
    <t>Check Box</t>
  </si>
  <si>
    <t>What is the main goal of conducting an assessment? [You may select up to two goals.]</t>
  </si>
  <si>
    <r>
      <t xml:space="preserve">This decision support workbook is a component of the Navigator for Digital Health Capability Models. The Navigator is a guide to maturity model-based tools for digital health systems. It complements the </t>
    </r>
    <r>
      <rPr>
        <i/>
        <sz val="12"/>
        <color theme="1"/>
        <rFont val="Arial"/>
        <family val="2"/>
        <scheme val="minor"/>
      </rPr>
      <t>Digital Implementation Investment Guide</t>
    </r>
    <r>
      <rPr>
        <sz val="12"/>
        <color theme="1"/>
        <rFont val="Arial"/>
        <family val="2"/>
        <scheme val="minor"/>
      </rPr>
      <t xml:space="preserve"> (DIIG), which recommends the use of a maturity model-based tool as an early and important step in digital health strengthening. The Navigator builds on the value of individual tools by providing guidance on each individual tool, its levels or stages of maturity, and its measurement scales. It also instructs the user on how to use tools in combination.
This workbook is intended to guide users through considerations in selecting and reviewing a maturity model-based tool (or tools) to best fit their goals and context.  </t>
    </r>
  </si>
  <si>
    <t xml:space="preserve">This workbook is meant to be used for national-level planning regarding investment in digital health. This workbook can be used by such decision makers as ministries; health information system (HIS) or digital health units; governing bodies or authorities; funders of digital health initiatives; and implementors and nongovernmental organizations (NGOs) seeking to assess and improve systems for digital health.  </t>
  </si>
  <si>
    <t>Based on user input in the Tool Selection tab, the workbook will suggest one or more tools that best fit the selected goal(s) and additional criteria. The workbook also provides guidance on how to review past assessment results when planning for a new assessment. Users should refer to the Description of Tools tab for an overview of the tools included in the Navigator and a key to tool abbreviations. Individual tool tabs provide more information on the individual tools.</t>
  </si>
  <si>
    <t>Instructions for Use of the Workbook</t>
  </si>
  <si>
    <r>
      <t xml:space="preserve">1) Read the </t>
    </r>
    <r>
      <rPr>
        <b/>
        <sz val="11"/>
        <color theme="1"/>
        <rFont val="Arial"/>
        <family val="2"/>
        <scheme val="minor"/>
      </rPr>
      <t>Overview</t>
    </r>
    <r>
      <rPr>
        <sz val="11"/>
        <color theme="1"/>
        <rFont val="Arial"/>
        <family val="2"/>
        <scheme val="minor"/>
      </rPr>
      <t xml:space="preserve"> tab to learn about the Navigator for Digital Health Capability Models. We also recommend that you review the accompanying Navigator User's Guide. </t>
    </r>
  </si>
  <si>
    <r>
      <t xml:space="preserve">3a) In the </t>
    </r>
    <r>
      <rPr>
        <b/>
        <sz val="11"/>
        <color theme="1"/>
        <rFont val="Arial"/>
        <family val="2"/>
        <scheme val="minor"/>
      </rPr>
      <t>Tool Selection</t>
    </r>
    <r>
      <rPr>
        <sz val="11"/>
        <color theme="1"/>
        <rFont val="Arial"/>
        <family val="2"/>
        <scheme val="minor"/>
      </rPr>
      <t xml:space="preserve"> tab, select a response to the </t>
    </r>
    <r>
      <rPr>
        <b/>
        <sz val="11"/>
        <color theme="1"/>
        <rFont val="Arial"/>
        <family val="2"/>
        <scheme val="minor"/>
      </rPr>
      <t>"What is the main goal for conducting an assessment?"</t>
    </r>
    <r>
      <rPr>
        <sz val="11"/>
        <color theme="1"/>
        <rFont val="Arial"/>
        <family val="2"/>
        <scheme val="minor"/>
      </rPr>
      <t xml:space="preserve"> question. You may select </t>
    </r>
    <r>
      <rPr>
        <b/>
        <sz val="11"/>
        <color theme="1"/>
        <rFont val="Arial"/>
        <family val="2"/>
        <scheme val="minor"/>
      </rPr>
      <t>up to two goal options</t>
    </r>
    <r>
      <rPr>
        <sz val="11"/>
        <color theme="1"/>
        <rFont val="Arial"/>
        <family val="2"/>
        <scheme val="minor"/>
      </rPr>
      <t xml:space="preserve"> by clicking the corresponding box in column B. A checkmark will appear when a box is selected. Selecting the main goal or priority of conducting the assessment will result in the best-for-fit tool recommendation. You can repeat the process multiple times to return a result for different goals. Note: See the individual tool description tabs for the individual tool goals.</t>
    </r>
  </si>
  <si>
    <r>
      <t xml:space="preserve">3b) Select a response to the </t>
    </r>
    <r>
      <rPr>
        <b/>
        <sz val="11"/>
        <color rgb="FF000000"/>
        <rFont val="Arial"/>
        <family val="2"/>
        <scheme val="minor"/>
      </rPr>
      <t xml:space="preserve">"Have you used any of the tools in the past 2 years?" </t>
    </r>
    <r>
      <rPr>
        <sz val="11"/>
        <color rgb="FF000000"/>
        <rFont val="Arial"/>
        <family val="2"/>
        <scheme val="minor"/>
      </rPr>
      <t>question.</t>
    </r>
    <r>
      <rPr>
        <b/>
        <sz val="11"/>
        <color rgb="FF000000"/>
        <rFont val="Arial"/>
        <family val="2"/>
        <scheme val="minor"/>
      </rPr>
      <t xml:space="preserve"> </t>
    </r>
    <r>
      <rPr>
        <sz val="11"/>
        <color rgb="FF000000"/>
        <rFont val="Arial"/>
        <family val="2"/>
        <scheme val="minor"/>
      </rPr>
      <t xml:space="preserve">You may select one or more tools that have been used in the same setting in the previous two years. If you have not used any of the tools listed, select </t>
    </r>
    <r>
      <rPr>
        <b/>
        <sz val="11"/>
        <color rgb="FF000000"/>
        <rFont val="Arial"/>
        <family val="2"/>
        <scheme val="minor"/>
      </rPr>
      <t>NONE.</t>
    </r>
  </si>
  <si>
    <r>
      <t xml:space="preserve">3d) If two or more tools align with your selected goal(s), you will be prompted to </t>
    </r>
    <r>
      <rPr>
        <b/>
        <sz val="11"/>
        <color theme="1"/>
        <rFont val="Arial"/>
        <family val="2"/>
        <scheme val="minor"/>
      </rPr>
      <t>select additional criteria</t>
    </r>
    <r>
      <rPr>
        <sz val="11"/>
        <color theme="1"/>
        <rFont val="Arial"/>
        <family val="2"/>
        <scheme val="minor"/>
      </rPr>
      <t xml:space="preserve"> to help you find the tool that best fits your specific needs and context. If you select multiple goals and no tools meet your selected combination of goals, you will be prompted to select fewer goal statements. </t>
    </r>
    <r>
      <rPr>
        <b/>
        <sz val="11"/>
        <rFont val="Arial"/>
        <family val="2"/>
        <scheme val="minor"/>
      </rPr>
      <t>If only one tool aligns with your selected goal, skip to step 3k.</t>
    </r>
  </si>
  <si>
    <r>
      <t>3f) For the</t>
    </r>
    <r>
      <rPr>
        <b/>
        <sz val="11"/>
        <color theme="1"/>
        <rFont val="Arial"/>
        <family val="2"/>
        <scheme val="minor"/>
      </rPr>
      <t xml:space="preserve"> "In what language will the assessment be conducted?"</t>
    </r>
    <r>
      <rPr>
        <sz val="11"/>
        <color theme="1"/>
        <rFont val="Arial"/>
        <family val="2"/>
        <scheme val="minor"/>
      </rPr>
      <t xml:space="preserve"> question, consider whether a specific language is needed for tool materials.</t>
    </r>
  </si>
  <si>
    <r>
      <t xml:space="preserve">3h) For the </t>
    </r>
    <r>
      <rPr>
        <b/>
        <sz val="11"/>
        <color theme="1"/>
        <rFont val="Arial"/>
        <family val="2"/>
        <scheme val="minor"/>
      </rPr>
      <t xml:space="preserve">"What areas should be assessed?" </t>
    </r>
    <r>
      <rPr>
        <sz val="11"/>
        <color theme="1"/>
        <rFont val="Arial"/>
        <family val="2"/>
        <scheme val="minor"/>
      </rPr>
      <t>question, select any and all WHO-ITU National eHealth strategy building blocks that you would like to evaluate through the maturity assessment.</t>
    </r>
  </si>
  <si>
    <r>
      <t xml:space="preserve">3i) Click the </t>
    </r>
    <r>
      <rPr>
        <b/>
        <sz val="11"/>
        <color theme="1"/>
        <rFont val="Arial"/>
        <family val="2"/>
        <scheme val="minor"/>
      </rPr>
      <t>Process</t>
    </r>
    <r>
      <rPr>
        <sz val="11"/>
        <color theme="1"/>
        <rFont val="Arial"/>
        <family val="2"/>
        <scheme val="minor"/>
      </rPr>
      <t xml:space="preserve"> button again.</t>
    </r>
  </si>
  <si>
    <r>
      <t xml:space="preserve">3j) Your recommended tool will appear in the output table along with a list of the selected attributes that apply to that tool. </t>
    </r>
    <r>
      <rPr>
        <b/>
        <sz val="11"/>
        <color theme="1"/>
        <rFont val="Arial"/>
        <family val="2"/>
        <scheme val="minor"/>
      </rPr>
      <t>Note: The recommended tool may not fit ALL the selected criteria, but will align with the selected goal statement and will be the tool that fits the greatest number of your selected criteria.</t>
    </r>
  </si>
  <si>
    <r>
      <t xml:space="preserve">3k) If you indicated that you have used a tool or tools in the previous two years that differs from the recommended tool, </t>
    </r>
    <r>
      <rPr>
        <b/>
        <sz val="11"/>
        <color theme="1"/>
        <rFont val="Arial"/>
        <family val="2"/>
        <scheme val="minor"/>
      </rPr>
      <t>additional red tabs will pop up that provide one-to-one mappings of the indicators between the two tools</t>
    </r>
    <r>
      <rPr>
        <sz val="11"/>
        <color theme="1"/>
        <rFont val="Arial"/>
        <family val="2"/>
        <scheme val="minor"/>
      </rPr>
      <t xml:space="preserve">. This is meant to provide guidance on how to draw from the results of past assessments to inform new or planned assessments. For more information on the one-to-one tool mapping, please see the Navigator Mapping Appendix (Excel-based). </t>
    </r>
  </si>
  <si>
    <r>
      <t xml:space="preserve">6) To save the output of your recommended tool, select </t>
    </r>
    <r>
      <rPr>
        <b/>
        <sz val="11"/>
        <color theme="1"/>
        <rFont val="Arial"/>
        <family val="2"/>
        <scheme val="minor"/>
      </rPr>
      <t>Save &amp; Close</t>
    </r>
    <r>
      <rPr>
        <sz val="11"/>
        <color theme="1"/>
        <rFont val="Arial"/>
        <family val="2"/>
        <scheme val="minor"/>
      </rPr>
      <t xml:space="preserve"> to save a version of the workbook to your desktop. Be sure to give the file a unique name.</t>
    </r>
  </si>
  <si>
    <t>The Early Stage Digital Health Investment Tool (EDIT) is designed to assess a country’s readiness to implement digital solutions. It is targeted to governments that want to better understand where they need to invest to be fully ready to successfully implement digital health, to funders who want to know how to best target their investments in a particular country, and to partners and implementers who want to align around a country’s needs. The tool was developed by the Kati Collective in a joint effort with The Bill &amp; Melinda Gates Foundation, UNICEF, CDC, WHO, GAVI, PATH, Village Reach, and others.</t>
  </si>
  <si>
    <t xml:space="preserve">The Global Digital Health Index (GDHI) is an interactive web-based resource that tracks, monitors, and evaluates the use of digital technology for health across countries. The GDHI is a multi-stakeholder initiative currently facilitated by the Global Development Incubator, with technical leadership provided by HealthEnabled. It is governed by a multi-agency steering committee. </t>
  </si>
  <si>
    <t>The Health Information Systems (HIS) Interoperability Maturity Model (IMM) identifies the major components of HIS interoperability and lays out an organization’s growth pathway through these components. The toolkit is a joint product of MEASURE Evaluation and the Health Data Collaborative’s Digital Health and Interoperability (DH&amp;I) working group.</t>
  </si>
  <si>
    <t>The Information Systems for Health Maturity Assessment Toolkit (IS4H) describes the method, tool, and questions for assessing organizational capacity related to governance, data management, digital transformation, innovation, and knowledge management. The IS4H Toolkit was developed by the Pan American Health Association (PAHO).</t>
  </si>
  <si>
    <r>
      <t xml:space="preserve">Your recommended tool is the </t>
    </r>
    <r>
      <rPr>
        <b/>
        <i/>
        <sz val="12"/>
        <color rgb="FF000000"/>
        <rFont val="Arial"/>
        <family val="2"/>
        <scheme val="minor"/>
      </rPr>
      <t>Early Stage Digital Health Investment Tool</t>
    </r>
    <r>
      <rPr>
        <b/>
        <sz val="12"/>
        <color rgb="FF000000"/>
        <rFont val="Arial"/>
        <family val="2"/>
        <scheme val="minor"/>
      </rPr>
      <t xml:space="preserve">. </t>
    </r>
    <r>
      <rPr>
        <sz val="12"/>
        <color rgb="FF000000"/>
        <rFont val="Arial"/>
        <family val="2"/>
        <scheme val="minor"/>
      </rPr>
      <t xml:space="preserve">This is the tool that most closely aligns with your selected goals and with the additional criteria that you selected. Please review the tool carefully to determine whether it is the best fit for your needs. A second tool may also have been suggested for you to review.  </t>
    </r>
  </si>
  <si>
    <t>Click here to access the EDIT tool: https://katicollective.com/tools</t>
  </si>
  <si>
    <r>
      <rPr>
        <b/>
        <sz val="12"/>
        <color rgb="FF000000"/>
        <rFont val="Arial"/>
        <family val="2"/>
        <scheme val="minor"/>
      </rPr>
      <t>Creator:</t>
    </r>
    <r>
      <rPr>
        <sz val="12"/>
        <color rgb="FF000000"/>
        <rFont val="Arial"/>
        <family val="2"/>
        <scheme val="minor"/>
      </rPr>
      <t xml:space="preserve"> EDIT was developed by the Kati Collective with funding from the Bill &amp; Melinda Gates Foundation.</t>
    </r>
  </si>
  <si>
    <r>
      <rPr>
        <b/>
        <sz val="12"/>
        <color rgb="FF000000"/>
        <rFont val="Arial"/>
        <family val="2"/>
        <scheme val="minor"/>
      </rPr>
      <t>Overview:</t>
    </r>
    <r>
      <rPr>
        <sz val="12"/>
        <color rgb="FF000000"/>
        <rFont val="Arial"/>
        <family val="2"/>
        <scheme val="minor"/>
      </rPr>
      <t xml:space="preserve"> EDIT is designed to facilitate a discussion between a country and its stakeholders around the building blocks that they need to have in place before designing digital health solutions. EDIT was developed to serve as a general assessment of a country’s readiness to implement digital solutions and to close the gap between the desire to implement digital health systems and the actual readiness to do so.</t>
    </r>
    <r>
      <rPr>
        <vertAlign val="superscript"/>
        <sz val="12"/>
        <color rgb="FF000000"/>
        <rFont val="Arial"/>
        <family val="2"/>
        <scheme val="minor"/>
      </rPr>
      <t>1</t>
    </r>
    <r>
      <rPr>
        <sz val="12"/>
        <color rgb="FF000000"/>
        <rFont val="Arial"/>
        <family val="2"/>
        <scheme val="minor"/>
      </rPr>
      <t xml:space="preserve">  </t>
    </r>
  </si>
  <si>
    <r>
      <rPr>
        <b/>
        <sz val="12"/>
        <color rgb="FF000000"/>
        <rFont val="Arial"/>
        <family val="2"/>
        <scheme val="minor"/>
      </rPr>
      <t>Goals:</t>
    </r>
    <r>
      <rPr>
        <sz val="12"/>
        <color rgb="FF000000"/>
        <rFont val="Arial"/>
        <family val="2"/>
        <scheme val="minor"/>
      </rPr>
      <t xml:space="preserve"> Assess and monitor digital health readiness to prioritize digital health investments; and develop a digital health (or eHealth) strategy.</t>
    </r>
  </si>
  <si>
    <r>
      <rPr>
        <b/>
        <sz val="12"/>
        <color rgb="FF000000"/>
        <rFont val="Arial"/>
        <family val="2"/>
        <scheme val="minor"/>
      </rPr>
      <t>Intended users:</t>
    </r>
    <r>
      <rPr>
        <sz val="12"/>
        <color rgb="FF000000"/>
        <rFont val="Arial"/>
        <family val="2"/>
        <scheme val="minor"/>
      </rPr>
      <t xml:space="preserve"> Ministries of health and their partners, including donors and other stakeholders.</t>
    </r>
  </si>
  <si>
    <r>
      <rPr>
        <b/>
        <sz val="12"/>
        <color rgb="FF000000"/>
        <rFont val="Arial"/>
        <family val="2"/>
        <scheme val="minor"/>
      </rPr>
      <t xml:space="preserve">Process: </t>
    </r>
    <r>
      <rPr>
        <sz val="12"/>
        <color rgb="FF000000"/>
        <rFont val="Arial"/>
        <family val="2"/>
        <scheme val="minor"/>
      </rPr>
      <t>Scores are derived from averaging individual, self-administered stakeholder assessments. The EDIT assessment takes about one to two weeks and can be conducted with a few key stakeholders who have in-depth of knowledge about the country’s digital health landscape. Scoring is meant to inform and guide subsequent conversations among key stakeholders to improve digital health readiness and develop overall strategies.</t>
    </r>
    <r>
      <rPr>
        <vertAlign val="superscript"/>
        <sz val="12"/>
        <color rgb="FF000000"/>
        <rFont val="Arial"/>
        <family val="2"/>
        <scheme val="minor"/>
      </rPr>
      <t>1</t>
    </r>
  </si>
  <si>
    <r>
      <rPr>
        <b/>
        <sz val="12"/>
        <color rgb="FF000000"/>
        <rFont val="Arial"/>
        <family val="2"/>
        <scheme val="minor"/>
      </rPr>
      <t xml:space="preserve">Methodology: </t>
    </r>
    <r>
      <rPr>
        <sz val="12"/>
        <color rgb="FF000000"/>
        <rFont val="Arial"/>
        <family val="2"/>
        <scheme val="minor"/>
      </rPr>
      <t>Those completing the assessment review the criteria for each indicator and select the criteria that are most closely related to their country scenario.</t>
    </r>
    <r>
      <rPr>
        <b/>
        <sz val="12"/>
        <color rgb="FF000000"/>
        <rFont val="Arial"/>
        <family val="2"/>
        <scheme val="minor"/>
      </rPr>
      <t xml:space="preserve"> </t>
    </r>
  </si>
  <si>
    <r>
      <rPr>
        <b/>
        <sz val="12"/>
        <color rgb="FF000000"/>
        <rFont val="Arial"/>
        <family val="2"/>
        <scheme val="minor"/>
      </rPr>
      <t>Assessment scale:</t>
    </r>
    <r>
      <rPr>
        <sz val="12"/>
        <color rgb="FF000000"/>
        <rFont val="Arial"/>
        <family val="2"/>
        <scheme val="minor"/>
      </rPr>
      <t xml:space="preserve"> Building Blocks are composed of indicators that are evaluated using a scale of 1–5 from No Capacity (1) to Sustainable Capacity (5).</t>
    </r>
  </si>
  <si>
    <r>
      <rPr>
        <b/>
        <sz val="12"/>
        <color rgb="FF000000"/>
        <rFont val="Arial"/>
        <family val="2"/>
        <scheme val="minor"/>
      </rPr>
      <t>Client countries:</t>
    </r>
    <r>
      <rPr>
        <sz val="12"/>
        <color rgb="FF000000"/>
        <rFont val="Arial"/>
        <family val="2"/>
        <scheme val="minor"/>
      </rPr>
      <t xml:space="preserve"> Malawi. The Electronic Immunization Registry (EIR)-specific version of this tool has been used in several other countries.</t>
    </r>
    <r>
      <rPr>
        <vertAlign val="superscript"/>
        <sz val="12"/>
        <color rgb="FF000000"/>
        <rFont val="Arial"/>
        <family val="2"/>
        <scheme val="minor"/>
      </rPr>
      <t>2</t>
    </r>
  </si>
  <si>
    <t>1.      https://katicollective.com/tools</t>
  </si>
  <si>
    <t>2.    https://katicollective.com/what-were-thinking-1/edit-a-tool-for-the-greater-good</t>
  </si>
  <si>
    <r>
      <t xml:space="preserve">Your recommended tool is the </t>
    </r>
    <r>
      <rPr>
        <b/>
        <i/>
        <sz val="12"/>
        <color rgb="FF000000"/>
        <rFont val="Arial"/>
        <family val="2"/>
        <scheme val="minor"/>
      </rPr>
      <t>Global Digital Health Index</t>
    </r>
    <r>
      <rPr>
        <b/>
        <sz val="12"/>
        <color rgb="FF000000"/>
        <rFont val="Arial"/>
        <family val="2"/>
        <scheme val="minor"/>
      </rPr>
      <t xml:space="preserve">. </t>
    </r>
    <r>
      <rPr>
        <sz val="12"/>
        <color rgb="FF000000"/>
        <rFont val="Arial"/>
        <family val="2"/>
        <scheme val="minor"/>
      </rPr>
      <t xml:space="preserve">This is the tool that most closely aligns with your selected goals and with the additional criteria that you selected. Please review the tool carefully to determine whether it is the best fit for your needs. A second tool may also have been suggested for you to review.  </t>
    </r>
  </si>
  <si>
    <t>Click here to access the GDHI toolkit: https://www.digitalhealthindex.org/</t>
  </si>
  <si>
    <r>
      <rPr>
        <b/>
        <sz val="12"/>
        <color rgb="FF000000"/>
        <rFont val="Arial"/>
        <family val="2"/>
        <scheme val="minor"/>
      </rPr>
      <t>Creators:</t>
    </r>
    <r>
      <rPr>
        <sz val="12"/>
        <color rgb="FF000000"/>
        <rFont val="Arial"/>
        <family val="2"/>
        <scheme val="minor"/>
      </rPr>
      <t xml:space="preserve"> HealthEnabled, ministries of health, WHO, the Commonwealth Medical Association, Asia eHealth Information Network, Johnson &amp; Johnson, Royal Philips, Bill &amp; Melinda Gates Foundation, and USAID</t>
    </r>
  </si>
  <si>
    <r>
      <rPr>
        <b/>
        <sz val="12"/>
        <color rgb="FF000000"/>
        <rFont val="Arial"/>
        <family val="2"/>
        <scheme val="minor"/>
      </rPr>
      <t>Overview:</t>
    </r>
    <r>
      <rPr>
        <sz val="12"/>
        <color rgb="FF000000"/>
        <rFont val="Arial"/>
        <family val="2"/>
        <scheme val="minor"/>
      </rPr>
      <t xml:space="preserve"> GDHI is an interactive digital resource that tracks, monitors, and evaluates the use of digital technology for health across countries. GDHI is built on a set of indicators, based on the framework set in the WHO - International Telecommunication Union's 2012 National eHealth Strategy Toolkit, to help countries track, monitor, assess, and benchmark the effective use of digital health.</t>
    </r>
    <r>
      <rPr>
        <vertAlign val="superscript"/>
        <sz val="12"/>
        <color rgb="FF000000"/>
        <rFont val="Arial"/>
        <family val="2"/>
        <scheme val="minor"/>
      </rPr>
      <t xml:space="preserve">1 </t>
    </r>
  </si>
  <si>
    <r>
      <rPr>
        <b/>
        <sz val="12"/>
        <color rgb="FF000000"/>
        <rFont val="Arial"/>
        <family val="2"/>
        <scheme val="minor"/>
      </rPr>
      <t>Goals:</t>
    </r>
    <r>
      <rPr>
        <sz val="12"/>
        <color rgb="FF000000"/>
        <rFont val="Arial"/>
        <family val="2"/>
        <scheme val="minor"/>
      </rPr>
      <t xml:space="preserve"> Track, monitor, assess, and benchmark the effective use of digital health; and develop a digital health (or eHealth) strategy.</t>
    </r>
  </si>
  <si>
    <r>
      <rPr>
        <b/>
        <sz val="12"/>
        <color rgb="FF000000"/>
        <rFont val="Arial"/>
        <family val="2"/>
        <scheme val="minor"/>
      </rPr>
      <t xml:space="preserve">Process: </t>
    </r>
    <r>
      <rPr>
        <sz val="12"/>
        <color rgb="FF000000"/>
        <rFont val="Arial"/>
        <family val="2"/>
        <scheme val="minor"/>
      </rPr>
      <t>Web-based survey completed by stakeholders in one to two hours. Results are validated in the document review process. The GDHI also enables countries to compare their results with the global average or a specific overall  phase.</t>
    </r>
  </si>
  <si>
    <r>
      <rPr>
        <b/>
        <sz val="12"/>
        <color rgb="FF000000"/>
        <rFont val="Arial"/>
        <family val="2"/>
        <scheme val="minor"/>
      </rPr>
      <t xml:space="preserve">Methodology: </t>
    </r>
    <r>
      <rPr>
        <sz val="12"/>
        <color rgb="FF000000"/>
        <rFont val="Arial"/>
        <family val="2"/>
        <scheme val="minor"/>
      </rPr>
      <t>Data for each country are submitted via the annual GDHI survey by Ministry of Health representatives who lead digital health efforts in their respective countries</t>
    </r>
    <r>
      <rPr>
        <b/>
        <sz val="12"/>
        <color rgb="FF000000"/>
        <rFont val="Arial"/>
        <family val="2"/>
        <scheme val="minor"/>
      </rPr>
      <t xml:space="preserve">. </t>
    </r>
    <r>
      <rPr>
        <sz val="12"/>
        <color rgb="FF000000"/>
        <rFont val="Arial"/>
        <family val="2"/>
        <scheme val="minor"/>
      </rPr>
      <t>As part of the annual GDHI survey, country representatives must select the appropriate phase for each assessment indicator, and provide evidence and a rationale to support their selections. The scores assigned to the seven core indicators of the GHDI assessment are used to calculate an overall country average. Sub-indicators are included to provide greater specificity to the assessment but are not directly used in calculating country or global averages.</t>
    </r>
    <r>
      <rPr>
        <vertAlign val="superscript"/>
        <sz val="12"/>
        <color rgb="FF000000"/>
        <rFont val="Arial"/>
        <family val="2"/>
        <scheme val="minor"/>
      </rPr>
      <t>1</t>
    </r>
  </si>
  <si>
    <r>
      <rPr>
        <b/>
        <sz val="12"/>
        <color rgb="FF000000"/>
        <rFont val="Arial"/>
        <family val="2"/>
        <scheme val="minor"/>
      </rPr>
      <t xml:space="preserve">Attributes: </t>
    </r>
    <r>
      <rPr>
        <sz val="12"/>
        <color rgb="FF000000"/>
        <rFont val="Arial"/>
        <family val="2"/>
        <scheme val="minor"/>
      </rPr>
      <t>Nineteen core indicators aligned to the seven components of the WHO/ITU Strategy Framework</t>
    </r>
  </si>
  <si>
    <r>
      <t xml:space="preserve">Your recommended tool is the </t>
    </r>
    <r>
      <rPr>
        <b/>
        <i/>
        <sz val="12"/>
        <color rgb="FF000000"/>
        <rFont val="Arial"/>
        <family val="2"/>
        <scheme val="minor"/>
      </rPr>
      <t>HIS Interoperability Maturity Model</t>
    </r>
    <r>
      <rPr>
        <b/>
        <sz val="12"/>
        <color rgb="FF000000"/>
        <rFont val="Arial"/>
        <family val="2"/>
        <scheme val="minor"/>
      </rPr>
      <t xml:space="preserve">. </t>
    </r>
    <r>
      <rPr>
        <sz val="12"/>
        <color rgb="FF000000"/>
        <rFont val="Arial"/>
        <family val="2"/>
        <scheme val="minor"/>
      </rPr>
      <t xml:space="preserve">This is the tool that most closely aligns with your selected goals and with the additional criteria that you selected.  Please review the tool carefully to determine whether it is the best fit for your needs. A second tool may also have been suggested for you to review.  </t>
    </r>
  </si>
  <si>
    <t>Click here to access the IMM toolkit: https://lib.digitalsquare.io/handle/123456789/1468</t>
  </si>
  <si>
    <r>
      <rPr>
        <b/>
        <sz val="12"/>
        <color rgb="FF000000"/>
        <rFont val="Century Gothic "/>
      </rPr>
      <t>Creators:</t>
    </r>
    <r>
      <rPr>
        <sz val="12"/>
        <color rgb="FF000000"/>
        <rFont val="Century Gothic "/>
      </rPr>
      <t xml:space="preserve"> MEASURE Evaluation; the Health Data Collaborative Digital Health and Interoperability Maturity Model Small Working Group</t>
    </r>
  </si>
  <si>
    <r>
      <rPr>
        <b/>
        <sz val="12"/>
        <color rgb="FF000000"/>
        <rFont val="Century Gothic "/>
      </rPr>
      <t xml:space="preserve">Overview: </t>
    </r>
    <r>
      <rPr>
        <sz val="12"/>
        <color rgb="FF000000"/>
        <rFont val="Century Gothic "/>
      </rPr>
      <t>IMM assesses the ability of two or more information systems to exchange and use data from one another by identifying existing capacity, processes, and structures for key domains for HIS interoperability.</t>
    </r>
    <r>
      <rPr>
        <vertAlign val="superscript"/>
        <sz val="12"/>
        <color rgb="FF000000"/>
        <rFont val="Century Gothic "/>
      </rPr>
      <t>1</t>
    </r>
    <r>
      <rPr>
        <sz val="12"/>
        <color rgb="FF000000"/>
        <rFont val="Century Gothic "/>
      </rPr>
      <t xml:space="preserve"> Results are used to develop a roadmap to strengthen interoperability of the country’s HIS, identify support resources, and set goal timelines.</t>
    </r>
  </si>
  <si>
    <r>
      <rPr>
        <b/>
        <sz val="12"/>
        <color rgb="FF000000"/>
        <rFont val="Century Gothic "/>
      </rPr>
      <t xml:space="preserve">Goals: </t>
    </r>
    <r>
      <rPr>
        <sz val="12"/>
        <color rgb="FF000000"/>
        <rFont val="Century Gothic "/>
      </rPr>
      <t>Develop an HIS interoperability strategy; and assess and improve HIS interoperability maturity.</t>
    </r>
  </si>
  <si>
    <r>
      <rPr>
        <b/>
        <sz val="12"/>
        <color rgb="FF000000"/>
        <rFont val="Century Gothic "/>
      </rPr>
      <t xml:space="preserve">Intended users: </t>
    </r>
    <r>
      <rPr>
        <sz val="12"/>
        <color rgb="FF000000"/>
        <rFont val="Century Gothic "/>
      </rPr>
      <t>Ministries of health, implementing partners, and other stakeholders</t>
    </r>
  </si>
  <si>
    <r>
      <rPr>
        <b/>
        <sz val="12"/>
        <color rgb="FF000000"/>
        <rFont val="Century Gothic "/>
      </rPr>
      <t xml:space="preserve">Process: </t>
    </r>
    <r>
      <rPr>
        <sz val="12"/>
        <color rgb="FF000000"/>
        <rFont val="Century Gothic "/>
      </rPr>
      <t>A two- to three-day consensus building workshop with stakeholders is conducted to implement the IMM assessment. Stakeholders include representatives from the ministry of health, digital health entities, implementing partners, and others involved in the interoperability of information systems.</t>
    </r>
  </si>
  <si>
    <r>
      <rPr>
        <b/>
        <sz val="12"/>
        <color rgb="FF000000"/>
        <rFont val="Century Gothic "/>
      </rPr>
      <t xml:space="preserve">Methodology: </t>
    </r>
    <r>
      <rPr>
        <sz val="12"/>
        <color rgb="FF000000"/>
        <rFont val="Century Gothic "/>
      </rPr>
      <t>Scoring allows for the full completion of levels and for partial completion (if only two of three attributes have been met for a given level).</t>
    </r>
  </si>
  <si>
    <r>
      <rPr>
        <b/>
        <sz val="12"/>
        <color rgb="FF000000"/>
        <rFont val="Century Gothic "/>
      </rPr>
      <t xml:space="preserve">Assessment scale: </t>
    </r>
    <r>
      <rPr>
        <sz val="12"/>
        <color rgb="FF000000"/>
        <rFont val="Century Gothic "/>
      </rPr>
      <t>Maturity levels from 1-5, ranging from nascent (1) to optimized (5)</t>
    </r>
  </si>
  <si>
    <r>
      <rPr>
        <b/>
        <sz val="12"/>
        <color rgb="FF000000"/>
        <rFont val="Century Gothic "/>
      </rPr>
      <t xml:space="preserve">Client countries: </t>
    </r>
    <r>
      <rPr>
        <sz val="12"/>
        <color rgb="FF000000"/>
        <rFont val="Century Gothic "/>
      </rPr>
      <t>Ghana, Kenya, Uganda, Rwanda, Tanzania, and Zanzibar</t>
    </r>
  </si>
  <si>
    <t>1.      https://lib.digitalsquare.io/handle/123456789/1468</t>
  </si>
  <si>
    <r>
      <t xml:space="preserve">Your recommended tool is the </t>
    </r>
    <r>
      <rPr>
        <b/>
        <i/>
        <sz val="12"/>
        <color rgb="FF000000"/>
        <rFont val="Arial"/>
        <family val="2"/>
        <scheme val="minor"/>
      </rPr>
      <t>Information Systems for Health Maturity Assessment Tool</t>
    </r>
    <r>
      <rPr>
        <b/>
        <sz val="12"/>
        <color rgb="FF000000"/>
        <rFont val="Arial"/>
        <family val="2"/>
        <scheme val="minor"/>
      </rPr>
      <t xml:space="preserve">. </t>
    </r>
    <r>
      <rPr>
        <sz val="12"/>
        <color rgb="FF000000"/>
        <rFont val="Arial"/>
        <family val="2"/>
        <scheme val="minor"/>
      </rPr>
      <t xml:space="preserve">This is the tool that most closely aligns with your selected goals and with the additional criteria that you selected.  Please review the tool carefully to determine whether it is the best fit for your needs. A second tool may also have been suggested for you to review.  </t>
    </r>
  </si>
  <si>
    <t>Click here to access the IS4H toolkit: https://www3.paho.org/ish/index.php/en/toolkit</t>
  </si>
  <si>
    <r>
      <rPr>
        <b/>
        <sz val="12"/>
        <color rgb="FF000000"/>
        <rFont val="Century Gothic "/>
      </rPr>
      <t xml:space="preserve">Overview: </t>
    </r>
    <r>
      <rPr>
        <sz val="12"/>
        <color rgb="FF000000"/>
        <rFont val="Century Gothic "/>
      </rPr>
      <t>IS4H serves as a reference framework that guides countries along the path of change marked by the information and knowledge revolution. It provides a path for establishing strategic priorities for IS4H capacity development and acts as a tool for ongoing monitoring and evaluation of process improvement to implement better decision and policy making mechanisms through health-related information systems that ensure universal, free, and timely access to data and strategic information using the most cost-effective ICT tools.</t>
    </r>
    <r>
      <rPr>
        <vertAlign val="superscript"/>
        <sz val="12"/>
        <color rgb="FF000000"/>
        <rFont val="Century Gothic "/>
      </rPr>
      <t>1</t>
    </r>
  </si>
  <si>
    <r>
      <rPr>
        <b/>
        <sz val="12"/>
        <color rgb="FF000000"/>
        <rFont val="Century Gothic "/>
      </rPr>
      <t>Goals:</t>
    </r>
    <r>
      <rPr>
        <sz val="12"/>
        <color rgb="FF000000"/>
        <rFont val="Century Gothic "/>
      </rPr>
      <t xml:space="preserve"> Develop an HIS strategy; and monitor and evaluate HIS process improvements</t>
    </r>
  </si>
  <si>
    <r>
      <rPr>
        <b/>
        <sz val="12"/>
        <color rgb="FF000000"/>
        <rFont val="Century Gothic "/>
      </rPr>
      <t xml:space="preserve">Intended users: </t>
    </r>
    <r>
      <rPr>
        <sz val="12"/>
        <color rgb="FF000000"/>
        <rFont val="Century Gothic "/>
      </rPr>
      <t>Policymakers, ministries of health, NGOs</t>
    </r>
  </si>
  <si>
    <r>
      <rPr>
        <b/>
        <sz val="12"/>
        <color rgb="FF000000"/>
        <rFont val="Century Gothic "/>
      </rPr>
      <t>Process:</t>
    </r>
    <r>
      <rPr>
        <sz val="12"/>
        <color rgb="FF000000"/>
        <rFont val="Century Gothic "/>
      </rPr>
      <t xml:space="preserve"> Assessment includes meetings with subject matter experts, desk review, observations of information platform use, and interviews with front-line administrative and clinical staff. Data are collected through interviews in a five-day workshop.</t>
    </r>
  </si>
  <si>
    <r>
      <rPr>
        <b/>
        <sz val="12"/>
        <color rgb="FF000000"/>
        <rFont val="Century Gothic "/>
      </rPr>
      <t>Areas of assessment:</t>
    </r>
    <r>
      <rPr>
        <sz val="12"/>
        <color rgb="FF000000"/>
        <rFont val="Century Gothic "/>
      </rPr>
      <t xml:space="preserve"> The IS4H framework is built around four strategic domains: data management and information technologies, management and governance, innovation, and knowledge management and sharing.</t>
    </r>
  </si>
  <si>
    <r>
      <rPr>
        <b/>
        <sz val="12"/>
        <color rgb="FF000000"/>
        <rFont val="Century Gothic "/>
      </rPr>
      <t xml:space="preserve">Methodology: </t>
    </r>
    <r>
      <rPr>
        <sz val="12"/>
        <color rgb="FF000000"/>
        <rFont val="Century Gothic "/>
      </rPr>
      <t>A core group of five to ten people is formed to carry out the MM assessment process. This group should include representatives from the ministry of health and other stakeholders across key IS4H domains, including information technology, information management, information analysis and use, and e-government. PAHO consultants review the findings of the core team and develop a report for review. This is followed by the Future State and Critical Success Factors Workshop and the Strategic Roadmap Workshop.</t>
    </r>
    <r>
      <rPr>
        <vertAlign val="superscript"/>
        <sz val="12"/>
        <color rgb="FF000000"/>
        <rFont val="Century Gothic "/>
      </rPr>
      <t>2</t>
    </r>
  </si>
  <si>
    <r>
      <rPr>
        <b/>
        <sz val="12"/>
        <color rgb="FF000000"/>
        <rFont val="Arial"/>
        <family val="2"/>
        <scheme val="minor"/>
      </rPr>
      <t>Creators:</t>
    </r>
    <r>
      <rPr>
        <sz val="12"/>
        <color rgb="FF000000"/>
        <rFont val="Arial"/>
        <family val="2"/>
        <scheme val="minor"/>
      </rPr>
      <t xml:space="preserve"> WHO, WHO country representatives, WHO technical experts, external agencies, individual experts</t>
    </r>
  </si>
  <si>
    <r>
      <rPr>
        <b/>
        <sz val="12"/>
        <color rgb="FF000000"/>
        <rFont val="Arial"/>
        <family val="2"/>
        <scheme val="minor"/>
      </rPr>
      <t xml:space="preserve">Overview: </t>
    </r>
    <r>
      <rPr>
        <sz val="12"/>
        <color rgb="FF000000"/>
        <rFont val="Arial"/>
        <family val="2"/>
        <scheme val="minor"/>
      </rPr>
      <t>SCORE supports WHO Member States in the effective collection, analysis, reporting, and use of health data to improve population health and achieve health-related Sustainable Development Goals. SCORE is intended to help address critical gaps in country health data and strengthen it where possible by helping users identify national and subnational priorities.</t>
    </r>
    <r>
      <rPr>
        <vertAlign val="superscript"/>
        <sz val="12"/>
        <color rgb="FF000000"/>
        <rFont val="Arial"/>
        <family val="2"/>
        <scheme val="minor"/>
      </rPr>
      <t>2</t>
    </r>
  </si>
  <si>
    <r>
      <rPr>
        <b/>
        <sz val="12"/>
        <color rgb="FF000000"/>
        <rFont val="Arial"/>
        <family val="2"/>
        <scheme val="minor"/>
      </rPr>
      <t xml:space="preserve">Goal: </t>
    </r>
    <r>
      <rPr>
        <sz val="12"/>
        <color rgb="FF000000"/>
        <rFont val="Arial"/>
        <family val="2"/>
        <scheme val="minor"/>
      </rPr>
      <t>Assess and strengthen a country's HIS and data to track progress toward the health-related SDGs</t>
    </r>
  </si>
  <si>
    <r>
      <rPr>
        <b/>
        <sz val="12"/>
        <color rgb="FF000000"/>
        <rFont val="Arial"/>
        <family val="2"/>
        <scheme val="minor"/>
      </rPr>
      <t xml:space="preserve">Intended users: </t>
    </r>
    <r>
      <rPr>
        <sz val="12"/>
        <color rgb="FF000000"/>
        <rFont val="Arial"/>
        <family val="2"/>
        <scheme val="minor"/>
      </rPr>
      <t>Ministries of health and implementing partners</t>
    </r>
  </si>
  <si>
    <r>
      <rPr>
        <b/>
        <sz val="12"/>
        <color rgb="FF000000"/>
        <rFont val="Arial"/>
        <family val="2"/>
        <scheme val="minor"/>
      </rPr>
      <t>Process:</t>
    </r>
    <r>
      <rPr>
        <sz val="12"/>
        <color rgb="FF000000"/>
        <rFont val="Arial"/>
        <family val="2"/>
        <scheme val="minor"/>
      </rPr>
      <t xml:space="preserve"> WHO conducts desk reviews of qualitative and quantitative data from multiple sources, including global, regional, and national survey reports; health information databases; birth and death registration portals; and health facility data. These preliminary data are shared with WHO Member States for review and validation, during which additional data are submitted by MOHs, national public health institutions, bureaus of statistics, ministries of finance, and other partners. Collated data and assessments are sent to governments of Member States for review and sign-off.</t>
    </r>
    <r>
      <rPr>
        <vertAlign val="superscript"/>
        <sz val="12"/>
        <color rgb="FF000000"/>
        <rFont val="Arial"/>
        <family val="2"/>
        <scheme val="minor"/>
      </rPr>
      <t>1</t>
    </r>
  </si>
  <si>
    <r>
      <rPr>
        <b/>
        <sz val="12"/>
        <color rgb="FF000000"/>
        <rFont val="Arial"/>
        <family val="2"/>
        <scheme val="minor"/>
      </rPr>
      <t xml:space="preserve">Attributes: </t>
    </r>
    <r>
      <rPr>
        <sz val="12"/>
        <color rgb="FF000000"/>
        <rFont val="Arial"/>
        <family val="2"/>
        <scheme val="minor"/>
      </rPr>
      <t>Twenty-four quantitative and qualitative indicators for assessing SCORE interventions at different levels.</t>
    </r>
  </si>
  <si>
    <r>
      <t xml:space="preserve">Your recommended tool is the </t>
    </r>
    <r>
      <rPr>
        <b/>
        <i/>
        <sz val="12"/>
        <color rgb="FF000000"/>
        <rFont val="Arial"/>
        <family val="2"/>
        <scheme val="minor"/>
      </rPr>
      <t>HIS Stages of Continuous Improvement</t>
    </r>
    <r>
      <rPr>
        <b/>
        <sz val="12"/>
        <color rgb="FF000000"/>
        <rFont val="Arial"/>
        <family val="2"/>
        <scheme val="minor"/>
      </rPr>
      <t xml:space="preserve">. </t>
    </r>
    <r>
      <rPr>
        <sz val="12"/>
        <color rgb="FF000000"/>
        <rFont val="Arial"/>
        <family val="2"/>
        <scheme val="minor"/>
      </rPr>
      <t xml:space="preserve">This is the tool that most closely aligns with your selected goals and with the additional criteria that you selected.  Please review the tool carefully to determine whether it is the best fit for your needs. A second tool may also have been suggested for you to review.  </t>
    </r>
  </si>
  <si>
    <t>Click here to access the SOCI toolkit: https://lib.digitalsquare.io/handle/123456789/60911</t>
  </si>
  <si>
    <r>
      <rPr>
        <b/>
        <sz val="12"/>
        <color rgb="FF000000"/>
        <rFont val="Arial"/>
        <family val="2"/>
        <scheme val="minor"/>
      </rPr>
      <t>Creators:</t>
    </r>
    <r>
      <rPr>
        <sz val="12"/>
        <color rgb="FF000000"/>
        <rFont val="Arial"/>
        <family val="2"/>
        <scheme val="minor"/>
      </rPr>
      <t xml:space="preserve"> MEASURE Evaluation, Centers for Disease Control and Prevention (CDC), Health Data Collaborative Digital Health and Interoperability Maturity Model Small Working Group</t>
    </r>
  </si>
  <si>
    <r>
      <rPr>
        <b/>
        <sz val="12"/>
        <color rgb="FF000000"/>
        <rFont val="Arial"/>
        <family val="2"/>
        <scheme val="minor"/>
      </rPr>
      <t xml:space="preserve">Overview: </t>
    </r>
    <r>
      <rPr>
        <sz val="12"/>
        <color rgb="FF000000"/>
        <rFont val="Arial"/>
        <family val="2"/>
        <scheme val="minor"/>
      </rPr>
      <t>The SOCI toolkit establishes a systematic basis of measurement for describing the components of an HIS, setting goals for future levels of maturity, and laying the foundation for the development of improvement plans to realize the next stages of progress toward a stronger HIS. This tool was designed to help countries or organizations holistically assess, plan, and prioritize interventions and investments to strengthen an HIS.</t>
    </r>
  </si>
  <si>
    <r>
      <rPr>
        <b/>
        <sz val="12"/>
        <color rgb="FF000000"/>
        <rFont val="Arial"/>
        <family val="2"/>
        <scheme val="minor"/>
      </rPr>
      <t>Goals:</t>
    </r>
    <r>
      <rPr>
        <sz val="12"/>
        <color rgb="FF000000"/>
        <rFont val="Arial"/>
        <family val="2"/>
        <scheme val="minor"/>
      </rPr>
      <t xml:space="preserve"> Develop an HIS strategy; and determine current and desired maturity levels to develop a roadmap for continuous HIS improvement</t>
    </r>
  </si>
  <si>
    <r>
      <rPr>
        <b/>
        <sz val="12"/>
        <color rgb="FF000000"/>
        <rFont val="Arial"/>
        <family val="2"/>
        <scheme val="minor"/>
      </rPr>
      <t xml:space="preserve">Intended users: </t>
    </r>
    <r>
      <rPr>
        <sz val="12"/>
        <color rgb="FF000000"/>
        <rFont val="Arial"/>
        <family val="2"/>
        <scheme val="minor"/>
      </rPr>
      <t>HIS leadership at the ministry of health and others internal and external to the government</t>
    </r>
  </si>
  <si>
    <r>
      <rPr>
        <b/>
        <sz val="12"/>
        <color rgb="FF000000"/>
        <rFont val="Arial"/>
        <family val="2"/>
        <scheme val="minor"/>
      </rPr>
      <t xml:space="preserve">Process: </t>
    </r>
    <r>
      <rPr>
        <sz val="12"/>
        <color rgb="FF000000"/>
        <rFont val="Arial"/>
        <family val="2"/>
        <scheme val="minor"/>
      </rPr>
      <t>A country or organization must first define what is meant by HIS in its context; this is called defining the scope. This will help determine which stakeholders will be involved. The implementation of the SOCI Toolkit is estimated to take a few weeks to complete. This timeframe includes planning/leadership meetings, conducting the assessment, an in-person stakeholder workshop, and the dissemination of findings from the analysis.</t>
    </r>
  </si>
  <si>
    <r>
      <rPr>
        <b/>
        <sz val="12"/>
        <color rgb="FF000000"/>
        <rFont val="Arial"/>
        <family val="2"/>
        <scheme val="minor"/>
      </rPr>
      <t xml:space="preserve">Methodology: </t>
    </r>
    <r>
      <rPr>
        <sz val="12"/>
        <color rgb="FF000000"/>
        <rFont val="Arial"/>
        <family val="2"/>
        <scheme val="minor"/>
      </rPr>
      <t>The HIS SOCI assessment tool can be administered in three different ways: self-administered, externally administered, or a hybrid of self- and facilitator-administered. Initial scoring is done by averaging scores from stakeholders; the final assessment scores are determined in a consensus building workshop.</t>
    </r>
  </si>
  <si>
    <r>
      <rPr>
        <b/>
        <sz val="12"/>
        <color rgb="FF000000"/>
        <rFont val="Arial"/>
        <family val="2"/>
        <scheme val="minor"/>
      </rPr>
      <t>Assessment scale:</t>
    </r>
    <r>
      <rPr>
        <sz val="12"/>
        <color rgb="FF000000"/>
        <rFont val="Arial"/>
        <family val="2"/>
        <scheme val="minor"/>
      </rPr>
      <t xml:space="preserve"> Five stages of progression from 1-5 ranging from emerging/ad hoc (1) to optimized (5) </t>
    </r>
  </si>
  <si>
    <r>
      <rPr>
        <b/>
        <sz val="12"/>
        <color rgb="FF000000"/>
        <rFont val="Arial"/>
        <family val="2"/>
        <scheme val="minor"/>
      </rPr>
      <t>Attributes:</t>
    </r>
    <r>
      <rPr>
        <sz val="12"/>
        <color rgb="FF000000"/>
        <rFont val="Arial"/>
        <family val="2"/>
        <scheme val="minor"/>
      </rPr>
      <t xml:space="preserve"> Five HIS core domains, 13 components, and 39 subcomponents. The domains and components are derived from and map to elements of the WHO- International Telecommunication Union Strategic Framework.</t>
    </r>
  </si>
  <si>
    <r>
      <rPr>
        <b/>
        <sz val="12"/>
        <color rgb="FF000000"/>
        <rFont val="Arial"/>
        <family val="2"/>
        <scheme val="minor"/>
      </rPr>
      <t>Client countries:</t>
    </r>
    <r>
      <rPr>
        <sz val="12"/>
        <color rgb="FF000000"/>
        <rFont val="Arial"/>
        <family val="2"/>
        <scheme val="minor"/>
      </rPr>
      <t xml:space="preserve"> Uganda; adaptations used in Cameroon, Côte d'Ivoire, and Ethiopia.</t>
    </r>
  </si>
  <si>
    <t>Tool</t>
  </si>
  <si>
    <t xml:space="preserve">
Appendix: Indicator Mapping</t>
  </si>
  <si>
    <t>Access the complete Navigator here: https://wiki.digitalsquare.io/index.php/Navigator_for_Digital_Health_Capability_Models</t>
  </si>
  <si>
    <t>Mapping Overview</t>
  </si>
  <si>
    <t xml:space="preserve">This Excel file is an appendix for the Navigator for Digital Health Capability Models and includes indicator mapping summary tables, a key to the codes used in the mapping, and a description of the methodology for the mapping of the indicators. The Navigator Decision Support Workbook (a separate workbook) offers guidance on how to consider and compare results from maturity model-based tools used previously in the same context through a summary of indicators mapped to similar indicators in other tools. The output tables are meant to be used to compare similar or related indicators from one tool to the next. This appendix is a compendium for the mapping of indicators across all six tools, and a reference of the coding scheme used to refer to each tool's individual indicators. </t>
  </si>
  <si>
    <t>Methods</t>
  </si>
  <si>
    <r>
      <t xml:space="preserve">As an undertaking of the Navigator for Digital Health Capability Models, the Navigator technical team mapped indicators from across each of the six tools to understand when the tools overlapped in what they measure.  The six maturity model-based tools included in the Navigator measure various capabilities in the form of an indicator (also called subcomponent/component/domain in the specific tools) across a scale. The Navigator uses the term "indicator" as a generic term to refer to each tool's most granular level of measurement. (See the individual tool codes for details.) 
Mapping was done in three steps:
1) Creating the overarching coding scheme and mapping framework: The Navigator technical team first reviewed each tool's measurement/maturity scales to identify the most granular level of capability measurement, or what is referred to in the Navigator as an indicator. The Information System for Health (IS4H) Tool;  WHO's Survey, Count, Optimize, Review, and Enable (SCORE) Tool; and the Health Information Systems (HIS) Stages of Continuous Improvement (SOCI) Tool each have established coding schemes that were used in the Navigator mapping.  Table 1 below shows each tool's architecture.
2) Create coding scheme for tools without indicator codes: To clearly map indicators from various tools and their respective coding schemes, we created a master code of the indicators. For IS4H, SCORE, and SOCI, established codes were used. The Early Stage Digital Investment Tool (EDIT), Global Digital Health Index (GDHI), and HIS Interoperability Maturity Model (IMM) do not have established coding schemes to identify individual indicators. For those tools, codes were assigned to the most granular indicator level in each tool. 
 3) Map individual tool indicators to one another: As a third and final step, the Navigator technical team completed a one-to-one comparison of the indicators across each tool. The team first considered one-to-one tool mappings that had previously been done by various organizations, including the Kati Collective and the MEASURE Evaluation Project. Individual indicators from each tool were compared and mapped based on indicator descriptions of each digital health capability. We did not map individual capability statements (scores or scale of 1-5 for each indicator).  An indicator from one tool that addressed similar capability(ies) as an indicator from another tool was mapped side-by-side in the one-to-one tool mapping summary tables.  Example: indicator M.A.1 Governance structure for HIS from IMM maps to indicator G.A.1 Digital health prioritized at the national level through mechanisms for governance from the GDHI.  
In some instances, an indicator from one tool is mapped to two or more indicators from another tool, when a broad or more general indicator was mapped to more specific indicators from another tool.  Example: indicator DMIT3 Standards for Quality and Interoperability from IS4H was mapped to indicator TB2b, TB2c and TF3c from EDIT which cover multiple aspects of standards for interoperability.
</t>
    </r>
    <r>
      <rPr>
        <b/>
        <sz val="12"/>
        <color theme="1"/>
        <rFont val="Arial"/>
        <family val="2"/>
      </rPr>
      <t xml:space="preserve">Please note: </t>
    </r>
    <r>
      <rPr>
        <sz val="12"/>
        <color theme="1"/>
        <rFont val="Arial"/>
        <family val="2"/>
      </rPr>
      <t xml:space="preserve">Indicators are drawn directly from the tools included in the workbook.  We have not changed indicator names or descriptions in any way, except to apply a coding system. 
</t>
    </r>
  </si>
  <si>
    <t>Table 1. Individual tool architecture</t>
  </si>
  <si>
    <t>Top architecture level</t>
  </si>
  <si>
    <t xml:space="preserve">Intermediate architecture level </t>
  </si>
  <si>
    <t>Lower architecture level</t>
  </si>
  <si>
    <t>Building Block</t>
  </si>
  <si>
    <t>Sub-Category</t>
  </si>
  <si>
    <t>Indicator</t>
  </si>
  <si>
    <t xml:space="preserve">Indicator Category </t>
  </si>
  <si>
    <t xml:space="preserve">Indicator </t>
  </si>
  <si>
    <t>Description</t>
  </si>
  <si>
    <t>Domain</t>
  </si>
  <si>
    <t>Subdomain</t>
  </si>
  <si>
    <t>Subdomain Definition</t>
  </si>
  <si>
    <t>Strategic Goal</t>
  </si>
  <si>
    <t>Component</t>
  </si>
  <si>
    <t xml:space="preserve">Intervention </t>
  </si>
  <si>
    <t>Key Element</t>
  </si>
  <si>
    <t>HIS Component, Subcomponent</t>
  </si>
  <si>
    <t>Subcomponent Definition</t>
  </si>
  <si>
    <t xml:space="preserve">Given that you have used the Global Digital Health Index (GDHI) in the past, the Navigator recommends reviewing the data for the following indicators from the GDHI assessment to (1) determine its relevance and applicability to your main assessment goal, and (2) to inform the new or planned EDIT assessment. Please see the Indicator Mapping tab for more on the coding system used here.	</t>
  </si>
  <si>
    <t>Is there an articulated plan for supporting digital health infrastructure (including equipment - computers/tablets/phones, supplies, software, devices, etc.) provision and maintenance?</t>
  </si>
  <si>
    <t>In general, is training available in digital health/health informatics/health information systems/biomedical informatics degree programs (in either public or private institutions) and producing trained digital health workers?</t>
  </si>
  <si>
    <t>Indicator 6 - Laws or regulations for privacy, confidentiality, and access to health information</t>
  </si>
  <si>
    <t>Is there a law to protect individual privacy, which also explains governing body ownership, access, and sharing of individually identifiable digital health data ?</t>
  </si>
  <si>
    <t>Are there protocols, policies, frameworks, or accepted processes in place to support secure cross-border data exchange and storage? This includes health-related data coming into a country, going out of a country, and/or being used in a country, related to an individual from another country.</t>
  </si>
  <si>
    <t>Laws or regulations for privacy, confidentiality, and access to health information</t>
  </si>
  <si>
    <t>Are there digital health/health information standards for data exchange, transmission, messaging, security, privacy, and hardware?</t>
  </si>
  <si>
    <t>Specifically, is there a secure birth registry of uniquely identifiable individuals available, accessible, and current for use for health-related purposes?</t>
  </si>
  <si>
    <t>Are health system registries of uniquely identifiable providers, administrators, and public facilities (and private if applicable) available, accessible, and current? Is the data geotagged to enable GIS mapping?</t>
  </si>
  <si>
    <t>Specifically, is there a secure master patient index of uniquely identifiable individuals available, accessible, and current for use for health-related purposes?</t>
  </si>
  <si>
    <t>What is the estimated percentage (%) of the annual public spending on health that is committed to digital health?</t>
  </si>
  <si>
    <t>Given that you have used the HIS Interoperability Maturity Model (IMM) in the past, the Navigator recommends reviewing the data for the following indicators from the IMM assessment to (1) determine its relevance and applicability to your main assessment goal, and (2) to inform the new or planned EDIT assessment. Please see the Indicator Mapping tab for more on the coding system used here.</t>
  </si>
  <si>
    <t>Details about financial management structures, including budgets for HIS interoperability, at national and subnational levels.</t>
  </si>
  <si>
    <t>Routine review and testing of technical standards for national data exchange and HIS ICT infrastructure.</t>
  </si>
  <si>
    <t>Server infrastructure</t>
  </si>
  <si>
    <t xml:space="preserve">Given that you have used the Information Systems for Health Maturity (IS4H) tool in the past, the Navigator recommends reviewing the data for the following indicators from the IS4H assessment to (1) determine its relevance and applicability to your main assessment goal, and (2) to inform the new or planned EDIT assessment. Please see the Indicator Mapping tab for more on the coding system used here.		</t>
  </si>
  <si>
    <t>Knowledge management methodologies and mechanisms to improve decision making, by capturing, sharing, and measuring organizational knowledge.</t>
  </si>
  <si>
    <t xml:space="preserve">Knowledge management and sharing policies, processes, infrastructure, tools, and skills strengthening as part of a learning organization framework. </t>
  </si>
  <si>
    <t xml:space="preserve">Digital health tools used to transform models of care, to improve patient safety and quality of care, and to support population health. Healthcare and services are delivered virtually. </t>
  </si>
  <si>
    <t>Coordination and distribution of the governance structure for IS4H accountability and decision making at the managerial and technical level among all actors.</t>
  </si>
  <si>
    <t xml:space="preserve">Key and core legislation, policy, and compliance mechanisms, with elements to enable IS4H implementation, operation, and maintenance. </t>
  </si>
  <si>
    <t xml:space="preserve">Structured process for engaging key stakeholders, including other government agencies, system users, civil society organizations, funders, technical partners, implementers, and private sector </t>
  </si>
  <si>
    <t>Establish relationships with multisectoral actors, including private sector partners, and other public sector stakeholders.</t>
  </si>
  <si>
    <t xml:space="preserve">A systematic approach for health needs assessments; accessibility of essential information; advanced analytical techniques to support real time clinical, management, policy, and decision making. </t>
  </si>
  <si>
    <t>Reports of statistics, as well as key bulletins and summaries, produced and distributed to stakeholders, MOH data users, and producers</t>
  </si>
  <si>
    <t xml:space="preserve">Availability and maintenance of tools, networks, hardware, and software to support IS4H. Interoperability among platforms and integration of data repositories. </t>
  </si>
  <si>
    <t xml:space="preserve">Given that you have used the WHO SCORE tool in the past, the Navigator recommends reviewing the data for the following indicators from the SCORE assessment to (1) determine its relevance and applicability to your main assessment goal, and (2) to inform the new or planned EDIT assessment. Please see the Indicator Mapping tab for more on the coding system used here.	</t>
  </si>
  <si>
    <t>National digital health/eHealth strategy is based on standards.</t>
  </si>
  <si>
    <t>National health plan and policies are based on data and evidence.</t>
  </si>
  <si>
    <t>Availability of annual statistics for selected indicators derived from facility data.</t>
  </si>
  <si>
    <t>High quality analytical reports on progress and performance of health sector strategy/plan are produced annually.</t>
  </si>
  <si>
    <t>National monitoring and evaluation (M&amp;E) is based on standards.</t>
  </si>
  <si>
    <t xml:space="preserve">Given that you have used the HIS Stages of Continuous Improvement (SOCI) toolkit in the past, the Navigator recommends reviewing the data for the following indicators from the SOCI assessment to (1) determine its relevance and applicability to your main assessment goal, and (2) to inform the new or planned EDIT assessment. Please see the Indicator Mapping tab for more on the coding system used here.		</t>
  </si>
  <si>
    <t>HIS strategic planning processes involving key stakeholders, which includes standards, legislation, financial resources, human resources, etc.</t>
  </si>
  <si>
    <t>Structured process for engaging key stakeholders, including other government agencies, system users, civil society organizations, funders, technical partners, implementers, and private sector</t>
  </si>
  <si>
    <t>Data review processes</t>
  </si>
  <si>
    <t>T.D.3.b</t>
  </si>
  <si>
    <t xml:space="preserve">Data quality check </t>
  </si>
  <si>
    <t>Given that you have used the Early Stage Digital Health Investment Tool (EDIT) in the past, the Navigator recommends reviewing the data for the following indicators from the EDIT assessment to (1) determine its relevance and applicability to your main assessment goal, and (2) to inform the new or planned GDHI assessment. Please see the Indicator Mapping tab for more information on the codes used here.</t>
  </si>
  <si>
    <t>Indicator 1 - Digital health prioritized at the national level through dedicated bodies/mechanisms for governance</t>
  </si>
  <si>
    <t>Does the country have a separate department/agency/national working group for digital health?</t>
  </si>
  <si>
    <t>Indicator 3 - National eHealth/Digital Health Strategy or Framework</t>
  </si>
  <si>
    <t>Indicator 6 - Laws or regulations for privacy, confidentiality, and access to health information (Privacy)</t>
  </si>
  <si>
    <t>In general, is training in digital health/health informatics/health information systems/biomedical informatics degree programs (in either public or private institutions) producing trained digital health workers?</t>
  </si>
  <si>
    <t>Public sector priorities (e.g., 14 domains included in ISO TR 14639) are supported by nationally-scaled digital health systems. (Use separate worksheet to determine the country's specified priority areas, whether digital systems are in place, and whether those systems are national-scale.) [e.g. Country X chooses 4 priority areas, uses digital systems to address 2 of the 4, with only 1 being at national scale, receives a score of 25%.]</t>
  </si>
  <si>
    <t>Are health system registries of uniquely identifiable providers, administrators, and public facilities (and private, if applicable) available, accessible, and current? Is the data geotagged to enable GIS mapping?</t>
  </si>
  <si>
    <t>Are secure registries or a master patient index of uniquely identifiable individuals available, accessible, and current for use for health-related purposes?</t>
  </si>
  <si>
    <t>Given that you have used the HIS Interoperability Maturity Model (IMM) in the past, the Navigator recommends reviewing the data for the following indicators from the HIS Interoperability Maturity Model (IMM) assessment to (1) determine its relevance and applicability to your main assessment goal, and (2) to inform the new or planned GDHI assessment. Please see the Indicator Mapping tab for more information on the codes used here.</t>
  </si>
  <si>
    <t>Government enforced regulatory framework which complies with standards for data exchange, messaging, and security. Structures in place to maintain/enforce compliance.</t>
  </si>
  <si>
    <t>Indicator 6 - Laws or regulations for privacy, confidentiality, and access to health information (Privacy)</t>
  </si>
  <si>
    <t>Are there protocols, policies, frameworks, or accepted processes governing the clinical and patient care use of connected medical devices and digital health services (e.g., telemedicine, applications), particularly in relation to safety, data integrity, and quality of care?</t>
  </si>
  <si>
    <t>Government enforced regulatory framework, which complies with standards for data exchange, messaging, and security.  Structures in place to maintain/enforce compliance.</t>
  </si>
  <si>
    <t>Is digital health part of curriculum for health and health-related support professionals in the workforce, in general?</t>
  </si>
  <si>
    <t>Given that you have used the Information Systems for Health Maturity (IS4H) tool in the past, the Navigator recommends reviewing the data for the following indicators from the IS4H assessment to (1) determine its relevance and applicability to your main assessment goal, and (2) to inform the new or planned GDHI assessment. Please see the Indicator Mapping tab for more information on the codes used here.</t>
  </si>
  <si>
    <t>Addressing IS4H under policies, strategies, and SOPs at the national, regional, and local level. Mechanisms for developing or adopting an IS4H governance strategy or policy that promotes a better decision- and informed policy making mechanism.</t>
  </si>
  <si>
    <t>Indicator 6 - Laws or regulations for privacy, confidentiality and access to health information (Privacy)</t>
  </si>
  <si>
    <t xml:space="preserve">Key and core legislation, policy, and compliance mechanisms, elements to enable IS4H implementation, operation, and maintenance. </t>
  </si>
  <si>
    <t>Are there protocols, policies, frameworks, or accepted processes in place to support secure cross-border data exchange and storage? This includes health-related data coming into a country, going out of a country, and/or being used in a country related to an individual from another country.</t>
  </si>
  <si>
    <t>National and international agreements to contextualize national plans and investments. Commitment to regional and global mandates.</t>
  </si>
  <si>
    <t>Knowledge management methodologies and mechanisms to improve decision making, capture, share, and measure organizational knowledge.</t>
  </si>
  <si>
    <t>Public sector priorities (e.g., 14 domains included in ISO TR 14639) are supported by nationally-scaled digital health systems. (worksheet available)</t>
  </si>
  <si>
    <t>Given that you have used WHO SCORE tool in the past, the Navigator recommends reviewing the data for the following indicator from the SCORE assessment to (1) determine its relevance and applicability to your main assessment goal, and (2) to inform the new or planned GDHI assessment. Please see the Indicator Mapping tab for more information on the codes used here.</t>
  </si>
  <si>
    <t xml:space="preserve">Given that you have used the HIS Stages on Continuous Improvement (SOCI) toolkit in the past, the Navigator recommends reviewing the data for the following indicators from the SOCI assessment to (1) determine its relevance and applicability to your main assessment goal, and (2) to inform the new or planned GDHI assessment. Please see the Indicator Mapping tab for more information on the codes used here. </t>
  </si>
  <si>
    <t>Is digital health part of curriculum for health and health-related support professionals in the workforce, in general? (after deployment)</t>
  </si>
  <si>
    <t xml:space="preserve">Given that you have used the Early Stage Digital Health Investment Tool (EDIT) in the past, the Navigator recommends reviewing the data for the following indicators from the EDIT assessment to (1) determine its relevance and applicability to your main assessment goal, and (2) to inform the new or planned IMM assessment. Please see the Indicator Mapping tab for more on the coding system used here.	</t>
  </si>
  <si>
    <t>Details about financial management structures, including budgets for HIS interoperability at national and subnational levels.</t>
  </si>
  <si>
    <t>Existence of policies for data exchange/Existence of policies for data protection/security (e.g., storage, transmission, use)</t>
  </si>
  <si>
    <t xml:space="preserve">Given that you have used the Global Digital Health Index (GDHI) in the past, the Navigator recommends reviewing the data for the following indicators from the GDHI assessment to (1) determine its relevance and applicability to your main assessment goal, and (2) to inform the new or planned IMM assessment. Please see the Indicator Mapping tab for more on the coding system used here.	</t>
  </si>
  <si>
    <t>Government enforced regulatory framework, which complies with standards for data exchange, messaging, and security. Structures in place to maintain/enforce compliance.</t>
  </si>
  <si>
    <t>Public sector priorities (e.g., 14 domains included in ISO TR 14639) are supported by nationally-scaled digital health systems. (Use separate worksheet to determine the country's specified priority areas, whether digital systems are in place, and whether those systems are national-scale.) [e.g., Country X chooses 4 priority areas, uses digital systems to address 2 of the 4, with only 1 being at national scale, receives a score of 25%.]</t>
  </si>
  <si>
    <t>Indicator 6 - Laws or regulations for privacy, confidentiality and access to health information (Privacy)</t>
  </si>
  <si>
    <t>A set of procedures to ensure a high uptime for computer hardware, software, and network resources.</t>
  </si>
  <si>
    <t xml:space="preserve">Given that you have used the Information Systems for Health (IS4H) tool in the past, the Navigator recommends reviewing the data for the following indicators from the IS4H assessment to (1) determine its relevance and applicability to your main assessment goal, and (2) to inform the new or planned IMM assessment. Please see the Indicator Mapping tab for more on the coding system used here.	</t>
  </si>
  <si>
    <t xml:space="preserve">Given that you have used the WHO SCORE tool in the past, the Navigator recommends reviewing the data for the following indicators from the SCORE assessment to (1) determine its relevance and applicability to your main assessment goal, and (2) to inform the new or planned IMM assessment. Please see the Indicator Mapping tab for more on the coding system used here.	</t>
  </si>
  <si>
    <t xml:space="preserve">Given that you have used HIS Stages of Continuous Improvement (SOCI) toolkit in the past, the Navigator recommends reviewing the data for the following indicators from the SOCI assessment to (1) determine its relevance and applicability to your main assessment goal, and (2) to inform the new or planned IMM assessment. Please see the Indicator Mapping tab for more on the coding system used here.	</t>
  </si>
  <si>
    <t>Use of necessary components, such as routers, switches, and gateways to connect the parts of a network to one another.</t>
  </si>
  <si>
    <t xml:space="preserve">Given that you have used the Early Stage Digital Health Investment Tool (EDIT) in the past, the Navigator recommends reviewing the data for the following indicators from the EDIT assessment to (1) determine its relevance and applicability to your main assessment goal, and (2) to inform the new or planned IS4H assessment. Please see the Indicator Mapping tab for more on the coding system used here.	</t>
  </si>
  <si>
    <t>Reports of statistics, as well as key bulletins and summaries, produced and distributed to stakeholders, MOH data users, and producers.</t>
  </si>
  <si>
    <t xml:space="preserve">Existence of a national digital health architecture and/or health information exchange. </t>
  </si>
  <si>
    <t xml:space="preserve">National level capacity for data architecture and design for interoperability. </t>
  </si>
  <si>
    <t>Existence of policies for data protection/security (e.g., storage, transmission, use).</t>
  </si>
  <si>
    <t>Ability to maintain and troubleshoot both hardware and software at district level.</t>
  </si>
  <si>
    <t>Planning and support for ongoing digital health infrastructure maintenance.</t>
  </si>
  <si>
    <t xml:space="preserve">Defined roles &amp; responsibilities related to existing digital health functions and activities. </t>
  </si>
  <si>
    <t>Funding secured for the key priorities of the strategy.</t>
  </si>
  <si>
    <t xml:space="preserve">Human capital for planning, implementing, and managing IS4H. Competency building activities to strengthen IS4H skills. Job functions identified to effectively support IS4H. </t>
  </si>
  <si>
    <t xml:space="preserve">Structured process for engaging key stakeholders, including other government agencies, system users, civil society organizations, funders, technical partners, implementers, and private sector. </t>
  </si>
  <si>
    <t xml:space="preserve">Enforcement of regulatory frameworks for compliance. </t>
  </si>
  <si>
    <t>Existence of policies for data exchange.</t>
  </si>
  <si>
    <t xml:space="preserve">Digital health tools being used to transform models of care, improve patient safety, quality of care, and supporting population health approaches. Healthcare and services are delivered virtually. </t>
  </si>
  <si>
    <t xml:space="preserve">Given that you have used the Global Digital Health Index (GDHI) in the past, the Navigator recommends reviewing the data for the following indicators from the GDHI assessment to (1) determine its relevance and applicability to your main assessment goal, and (2) to inform the new or planned IS4H assessment. Please see the Indicator Mapping tab for more on the coding system used here.	</t>
  </si>
  <si>
    <t>Indicator 17 - Nationally scaled digital health systems</t>
  </si>
  <si>
    <t>Public sector priorities (e.g., 14 domains included in ISO TR 14639) are supported by nationally-scaled digital health systems (worksheet available).</t>
  </si>
  <si>
    <t xml:space="preserve">Given that you have used the HIS Interoperability Maturity Model (IMM) in the past, the Navigator recommends reviewing the data for the following indicators from the IMM assessment to (1) determine its relevance and applicability to your main assessment goal, and (2) to inform the new or planned IS4H assessment. Please see the Indicator Mapping tab for more on the coding system used here.	</t>
  </si>
  <si>
    <t xml:space="preserve">Given that you have used the WHO SCORE tool in the past, the Navigator recommends reviewing the data for the following indicators from the SCORE assessment to (1) determine its relevance and applicability to your main assessment goal, and (2) to inform the new or planned IS4H assessment. Please see the Indicator Mapping tab for more on the coding system used here.	</t>
  </si>
  <si>
    <t>National human resources health information system is in place and functional.</t>
  </si>
  <si>
    <t xml:space="preserve">Public access and effective oversight of government documents and proceedings. Open Data principles application and data sets availability. </t>
  </si>
  <si>
    <t>Health statistics are publicly available.</t>
  </si>
  <si>
    <t xml:space="preserve">Given that you have used the HIS Stages of Continuous Improvement (SOCI) toolkit in the past, the Navigator recommends reviewing the data for the following indicators from the SOCI assessment to (1) determine its relevance and applicability to your main assessment goal, and (2) to inform the new or planned IS4H assessment. Please see the Indicator Mapping tab for more on the coding system used here.	</t>
  </si>
  <si>
    <t>Given that you have used the Early Stage Digital Health Investment Tool (EDIT) in the past, the Navigator recommends reviewing the data for the following indicators from the EDIT assessment to (1) determine its relevance and applicability to your main assessment goal, and (2) to inform the new or planned SCORE assessment. Please see the Indicator Mapping tab for more information on the coding system used here.</t>
  </si>
  <si>
    <t>Given that you have used the Global Digital Health Index (GDHI) in the past, the Navigator recommends reviewing the data for the following indicator from the GDHI assessment to (1) determine its relevance and applicability to your main assessment goal, and (2) to inform the new or planned SCORE assessment. Please see the Indicator Mapping tab for more information on the coding system used here.</t>
  </si>
  <si>
    <t xml:space="preserve">Given that you have used HIS Interoperability Maturity Model (IMM) assessment in the past, the Navigator recommends reviewing the data for the following indicators from the IMM assessment to (1) determine its relevance and applicability to your main assessment goal, and (2) to inform the new or planned SCORE assessment. Please see the Indicator Mapping tab for more information on the coding system used here. </t>
  </si>
  <si>
    <t>Given that you have used the Information Systems for Health (IS4H) tool in the past, the Navigator recommends reviewing the data for the following indicators from the IS4H assessment to (1) determine its relevance and applicability to your main assessment goal, and (2) to inform the new or planned SCORE assessment. Please see the Indicator Mapping tab for more information on the coding system used here.</t>
  </si>
  <si>
    <t>Given that you have used HIS Stages of Continuous Improvement (SOCI) toolkit in the past, the Navigator recommends reviewing the data for the following indicators from the SOCI assessment to (1) determine its relevance and applicability to your main assessment goal, and (2) to inform the new or planned SCORE assessment. Please see the Indicator Mapping tab for more information on the coding system used here.</t>
  </si>
  <si>
    <t>A framework for regular evaluation (both formative and summative) of HIS activities and implementation to measure progress on milestones and goals in the delivery of healthcare services and to ensure alignment of HIS activities with HIS strategy and the desired impact on service delivery.</t>
  </si>
  <si>
    <t>Given that you have used the Early Stage Digital Health Investment Tool (EDIT) in the past, the Navigator recommends reviewing the data for the following indicators from the EDIT assessment to (1) determine its relevance and applicability to your main assessment goal, and (2) to inform the new or planned SOCI assessment. Please see the Indicator Mapping tab for more information on the coding system used here.</t>
  </si>
  <si>
    <t>Data quality checks</t>
  </si>
  <si>
    <t>Given that you have used the Global Digital Health Index (GDHI) in the past, the Navigator recommends reviewing the data for the following indicators from the GDHI assessment to (1) determine its relevance and applicability to your main assessment goal, and (2) to inform the new or planned SOCI assessment. Please see the Indicator Mapping tab for more information on the coding system used here.</t>
  </si>
  <si>
    <t>Is there an articulated plan for supporting digital health infrastructure (including equipment-  computers/tablets/phones, supplies, software, devices, etc.) provision and maintenance?</t>
  </si>
  <si>
    <t>Given that you have used the HIS Interoperability Maturity Model (IMM) in the past, the Navigator recommends reviewing the data for the following indicators from the IMM assessment to (1) determine its relevance and applicability to your main assessment goal, and (2) to inform the new or planned SOCI assessment. Please see the Indicator Mapping tab for more information on the coding system used here.</t>
  </si>
  <si>
    <t>Use of necessary components, such as routers, switches, and gateways, to connect the parts of a network to one another.</t>
  </si>
  <si>
    <t>Given that you have used the Information Systems for Health (IS4H) tool in the past, the Navigator recommends reviewing the data for the following indicators from the IS4H assessment to (1) determine its relevance and applicability to your main assessment goal, and (2) to inform the new or planned SOCI assessment. Please see the Indicator Mapping tab for more information on the coding system used here.</t>
  </si>
  <si>
    <t xml:space="preserve">Human capital for planning, implementing, and managing IS4H. Competency building activities to strengthen  IS4H skills. Job functions identified to effectively support IS4H. </t>
  </si>
  <si>
    <t>Given that you have used the WHO SCORE tool in the past, the Navigator recommends reviewing the data for the following indicators from the SCORE assessment to (1) determine its relevance and applicability to your main assessment goal, and (2) to inform the new or planned SOCI assessment. Please see the Indicator Mapping tab for more information on the coding system used here.</t>
  </si>
  <si>
    <r>
      <t xml:space="preserve">Your recommended tool is WHO's Survey, Count, Optimize, Review, Enable (SCORE) Essential Interventions. </t>
    </r>
    <r>
      <rPr>
        <sz val="12"/>
        <color rgb="FF000000"/>
        <rFont val="Arial"/>
        <family val="2"/>
        <scheme val="minor"/>
      </rPr>
      <t xml:space="preserve">This is the tool that most closely aligns with your selected goals and with the additional criteria that you selected.  Please review the tool carefully to determine whether it is the best fit for your needs. A second tool may also have been suggested for you to review.  </t>
    </r>
  </si>
  <si>
    <t>WHO Survey, Count, Optimize, Review, Enable (SCORE) Essential Interventions</t>
  </si>
  <si>
    <t>Survey, Count, Optimize, Review, Enable (SCORE) Essential Interventions</t>
  </si>
  <si>
    <t>The Survey, Count, Optimize, Review, Enable (SCORE) Essential Interventions is a technical package of five essential interventions with key elements to enable governments to strengthen country health data and information systems, and to track progress toward the health-related Sustainable Development Goals and national and subnational priorities. It recommends actions to address challenges in meeting HIS needs and provides a harmonized package of the most effective interventions needed to address critical data gaps. SCORE was developed by WHO.</t>
  </si>
  <si>
    <t>Click here to access the SCORE for Health Data Technical Package: https://apps.who.int/iris/bitstream/handle/10665/334005/9789240009837-eng.pdf</t>
  </si>
  <si>
    <r>
      <rPr>
        <b/>
        <sz val="12"/>
        <color rgb="FF000000"/>
        <rFont val="Arial"/>
        <family val="2"/>
        <scheme val="minor"/>
      </rPr>
      <t>Areas of assessment:</t>
    </r>
    <r>
      <rPr>
        <sz val="12"/>
        <color rgb="FF000000"/>
        <rFont val="Arial"/>
        <family val="2"/>
        <scheme val="minor"/>
      </rPr>
      <t xml:space="preserve"> The SCORE Essential Interventions document uses five interventions: survey populations and health risks; count births, deaths, and causes of deaths; optimize health service data; review progress and performance; and enable data use for policy and action.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</si>
</sst>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8">
    <font>
      <sz val="10"/>
      <color rgb="FF000000"/>
      <name val="Arial"/>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b/>
      <sz val="10"/>
      <color theme="1"/>
      <name val="Arial"/>
      <family val="2"/>
    </font>
    <font>
      <b/>
      <sz val="10"/>
      <name val="Arial"/>
      <family val="2"/>
    </font>
    <font>
      <sz val="10"/>
      <color theme="1"/>
      <name val="Arial"/>
      <family val="2"/>
    </font>
    <font>
      <sz val="10"/>
      <name val="Arial"/>
      <family val="2"/>
    </font>
    <font>
      <sz val="10"/>
      <color rgb="FF000000"/>
      <name val="Arial"/>
      <family val="2"/>
    </font>
    <font>
      <sz val="10"/>
      <color rgb="FFFF0000"/>
      <name val="Arial"/>
      <family val="2"/>
    </font>
    <font>
      <sz val="10"/>
      <color rgb="FF000000"/>
      <name val="Arial"/>
      <family val="2"/>
    </font>
    <font>
      <b/>
      <sz val="10"/>
      <name val="Arial"/>
      <family val="2"/>
    </font>
    <font>
      <b/>
      <sz val="11"/>
      <color theme="1"/>
      <name val="Arial"/>
      <family val="2"/>
      <scheme val="minor"/>
    </font>
    <font>
      <u/>
      <sz val="10"/>
      <color theme="10"/>
      <name val="Arial"/>
      <family val="2"/>
    </font>
    <font>
      <sz val="11"/>
      <color theme="1"/>
      <name val="Century Gothic"/>
      <family val="2"/>
    </font>
    <font>
      <b/>
      <sz val="14"/>
      <color theme="0"/>
      <name val="Arial"/>
      <family val="2"/>
      <scheme val="minor"/>
    </font>
    <font>
      <sz val="14"/>
      <color theme="1"/>
      <name val="Century Gothic"/>
      <family val="2"/>
    </font>
    <font>
      <u/>
      <sz val="11"/>
      <color theme="10"/>
      <name val="Arial"/>
      <family val="2"/>
      <scheme val="minor"/>
    </font>
    <font>
      <b/>
      <sz val="11"/>
      <color theme="1"/>
      <name val="Century Gothic"/>
      <family val="2"/>
    </font>
    <font>
      <u/>
      <sz val="14"/>
      <color theme="10"/>
      <name val="Arial"/>
      <family val="2"/>
    </font>
    <font>
      <b/>
      <sz val="22"/>
      <color theme="0"/>
      <name val="Arial"/>
      <family val="2"/>
      <scheme val="minor"/>
    </font>
    <font>
      <sz val="10"/>
      <color rgb="FF000000"/>
      <name val="Arial"/>
      <family val="2"/>
      <scheme val="minor"/>
    </font>
    <font>
      <sz val="11"/>
      <color rgb="FF000000"/>
      <name val="Arial"/>
      <family val="2"/>
      <scheme val="minor"/>
    </font>
    <font>
      <b/>
      <sz val="16"/>
      <color theme="0"/>
      <name val="Arial"/>
      <family val="2"/>
      <scheme val="minor"/>
    </font>
    <font>
      <sz val="16"/>
      <color theme="0"/>
      <name val="Arial"/>
      <family val="2"/>
      <scheme val="minor"/>
    </font>
    <font>
      <sz val="12"/>
      <color rgb="FF000000"/>
      <name val="Arial"/>
      <family val="2"/>
      <scheme val="minor"/>
    </font>
    <font>
      <sz val="11"/>
      <color rgb="FF000000"/>
      <name val="Arial"/>
      <family val="2"/>
    </font>
    <font>
      <sz val="12"/>
      <color theme="1"/>
      <name val="Arial"/>
      <family val="2"/>
      <scheme val="minor"/>
    </font>
    <font>
      <sz val="10"/>
      <color theme="1"/>
      <name val="Arial"/>
      <family val="2"/>
      <scheme val="minor"/>
    </font>
    <font>
      <b/>
      <sz val="12"/>
      <color rgb="FF000000"/>
      <name val="Arial"/>
      <family val="2"/>
      <scheme val="minor"/>
    </font>
    <font>
      <b/>
      <i/>
      <sz val="12"/>
      <color rgb="FF000000"/>
      <name val="Arial"/>
      <family val="2"/>
      <scheme val="minor"/>
    </font>
    <font>
      <sz val="14"/>
      <color rgb="FF000000"/>
      <name val="Arial"/>
      <family val="2"/>
      <scheme val="minor"/>
    </font>
    <font>
      <vertAlign val="superscript"/>
      <sz val="12"/>
      <color rgb="FF000000"/>
      <name val="Arial"/>
      <family val="2"/>
      <scheme val="minor"/>
    </font>
    <font>
      <u/>
      <sz val="10"/>
      <color theme="10"/>
      <name val="Arial"/>
      <family val="2"/>
      <scheme val="minor"/>
    </font>
    <font>
      <sz val="10"/>
      <color rgb="FF000000"/>
      <name val="Century Gothic"/>
      <family val="1"/>
    </font>
    <font>
      <sz val="14"/>
      <color rgb="FF000000"/>
      <name val="Century Gothic"/>
      <family val="1"/>
    </font>
    <font>
      <sz val="10"/>
      <color rgb="FF000000"/>
      <name val="Century Gothic "/>
    </font>
    <font>
      <b/>
      <sz val="14"/>
      <color theme="0"/>
      <name val="Century Gothic "/>
    </font>
    <font>
      <sz val="14"/>
      <color rgb="FF000000"/>
      <name val="Century Gothic "/>
    </font>
    <font>
      <sz val="12"/>
      <color rgb="FF000000"/>
      <name val="Century Gothic "/>
    </font>
    <font>
      <b/>
      <sz val="12"/>
      <color rgb="FF000000"/>
      <name val="Century Gothic "/>
    </font>
    <font>
      <vertAlign val="superscript"/>
      <sz val="12"/>
      <color rgb="FF000000"/>
      <name val="Century Gothic "/>
    </font>
    <font>
      <u/>
      <sz val="10"/>
      <color theme="10"/>
      <name val="Century Gothic "/>
    </font>
    <font>
      <b/>
      <sz val="14"/>
      <color rgb="FF000000"/>
      <name val="Century Gothic"/>
      <family val="1"/>
    </font>
    <font>
      <sz val="16"/>
      <color theme="1"/>
      <name val="Arial"/>
      <family val="2"/>
      <scheme val="minor"/>
    </font>
    <font>
      <i/>
      <sz val="11"/>
      <color theme="1"/>
      <name val="Arial"/>
      <family val="2"/>
      <scheme val="minor"/>
    </font>
    <font>
      <sz val="10"/>
      <name val="Arial"/>
      <family val="2"/>
      <scheme val="minor"/>
    </font>
    <font>
      <b/>
      <sz val="11"/>
      <color theme="1"/>
      <name val="Arial"/>
      <family val="2"/>
    </font>
    <font>
      <b/>
      <sz val="11"/>
      <name val="Arial"/>
      <family val="2"/>
    </font>
    <font>
      <sz val="11"/>
      <color theme="1"/>
      <name val="Arial"/>
      <family val="2"/>
    </font>
    <font>
      <sz val="12"/>
      <color rgb="FF000000"/>
      <name val="Arial"/>
      <family val="2"/>
    </font>
    <font>
      <b/>
      <sz val="12"/>
      <color rgb="FF000000"/>
      <name val="Arial"/>
      <family val="2"/>
    </font>
    <font>
      <sz val="12"/>
      <color theme="1"/>
      <name val="Arial"/>
      <family val="2"/>
    </font>
    <font>
      <b/>
      <sz val="12"/>
      <color theme="1"/>
      <name val="Arial"/>
      <family val="2"/>
    </font>
    <font>
      <b/>
      <sz val="18"/>
      <color theme="1"/>
      <name val="Arial"/>
      <family val="2"/>
    </font>
    <font>
      <b/>
      <sz val="12"/>
      <color rgb="FFFF0000"/>
      <name val="Arial"/>
      <family val="2"/>
    </font>
    <font>
      <sz val="11"/>
      <color rgb="FFFF0000"/>
      <name val="Arial"/>
      <family val="2"/>
    </font>
    <font>
      <b/>
      <sz val="11"/>
      <color rgb="FFFF0000"/>
      <name val="Arial"/>
      <family val="2"/>
    </font>
    <font>
      <sz val="12"/>
      <color theme="1"/>
      <name val="Arial"/>
      <family val="2"/>
    </font>
    <font>
      <b/>
      <sz val="11"/>
      <color rgb="FF000000"/>
      <name val="Arial"/>
      <family val="2"/>
      <scheme val="minor"/>
    </font>
    <font>
      <b/>
      <sz val="20"/>
      <color rgb="FFFF0000"/>
      <name val="Arial"/>
      <family val="2"/>
    </font>
    <font>
      <b/>
      <sz val="10"/>
      <color rgb="FFFF0000"/>
      <name val="Arial"/>
      <family val="2"/>
    </font>
    <font>
      <b/>
      <i/>
      <sz val="10"/>
      <color theme="1"/>
      <name val="Arial"/>
      <family val="2"/>
    </font>
    <font>
      <b/>
      <sz val="10"/>
      <color rgb="FF000000"/>
      <name val="Arial"/>
      <family val="2"/>
    </font>
    <font>
      <b/>
      <u/>
      <sz val="10"/>
      <color rgb="FF000000"/>
      <name val="Arial"/>
      <family val="2"/>
    </font>
    <font>
      <u/>
      <sz val="16"/>
      <color theme="10"/>
      <name val="Arial"/>
      <family val="2"/>
    </font>
    <font>
      <i/>
      <sz val="12"/>
      <color theme="1"/>
      <name val="Arial"/>
      <family val="2"/>
      <scheme val="minor"/>
    </font>
    <font>
      <b/>
      <sz val="11"/>
      <name val="Arial"/>
      <family val="2"/>
      <scheme val="minor"/>
    </font>
    <font>
      <sz val="16"/>
      <color theme="0"/>
      <name val="Arial"/>
      <family val="2"/>
    </font>
    <font>
      <u/>
      <sz val="12"/>
      <name val="Arial"/>
      <family val="2"/>
    </font>
    <font>
      <b/>
      <sz val="20"/>
      <color theme="1"/>
      <name val="Arial"/>
      <family val="2"/>
    </font>
    <font>
      <u/>
      <sz val="12"/>
      <color theme="10"/>
      <name val="Arial"/>
      <family val="2"/>
    </font>
    <font>
      <u/>
      <sz val="11"/>
      <color theme="0"/>
      <name val="Arial"/>
      <family val="2"/>
    </font>
    <font>
      <sz val="11"/>
      <color theme="0"/>
      <name val="Arial"/>
      <family val="2"/>
    </font>
  </fonts>
  <fills count="46">
    <fill>
      <patternFill patternType="none"/>
    </fill>
    <fill>
      <patternFill patternType="gray125"/>
    </fill>
    <fill>
      <patternFill patternType="solid">
        <fgColor rgb="FFB7B7B7"/>
        <bgColor rgb="FFB7B7B7"/>
      </patternFill>
    </fill>
    <fill>
      <patternFill patternType="solid">
        <fgColor rgb="FFC7C5D7"/>
        <bgColor indexed="64"/>
      </patternFill>
    </fill>
    <fill>
      <patternFill patternType="solid">
        <fgColor rgb="FFEBD6CA"/>
        <bgColor indexed="64"/>
      </patternFill>
    </fill>
    <fill>
      <patternFill patternType="solid">
        <fgColor rgb="FFEFE4E1"/>
        <bgColor indexed="64"/>
      </patternFill>
    </fill>
    <fill>
      <patternFill patternType="solid">
        <fgColor rgb="FF7A1E02"/>
        <bgColor indexed="64"/>
      </patternFill>
    </fill>
    <fill>
      <patternFill patternType="solid">
        <fgColor rgb="FFDEC7C0"/>
        <bgColor indexed="64"/>
      </patternFill>
    </fill>
    <fill>
      <patternFill patternType="solid">
        <fgColor rgb="FFE7EAE2"/>
        <bgColor indexed="64"/>
      </patternFill>
    </fill>
    <fill>
      <patternFill patternType="solid">
        <fgColor rgb="FF4F6529"/>
        <bgColor indexed="64"/>
      </patternFill>
    </fill>
    <fill>
      <patternFill patternType="solid">
        <fgColor rgb="FFD3D9CA"/>
        <bgColor indexed="64"/>
      </patternFill>
    </fill>
    <fill>
      <patternFill patternType="solid">
        <fgColor rgb="FFF5E7EF"/>
        <bgColor indexed="64"/>
      </patternFill>
    </fill>
    <fill>
      <patternFill patternType="solid">
        <fgColor rgb="FFAA2573"/>
        <bgColor indexed="64"/>
      </patternFill>
    </fill>
    <fill>
      <patternFill patternType="solid">
        <fgColor rgb="FFEAC9DC"/>
        <bgColor indexed="64"/>
      </patternFill>
    </fill>
    <fill>
      <patternFill patternType="solid">
        <fgColor rgb="FFE0E6E8"/>
        <bgColor indexed="64"/>
      </patternFill>
    </fill>
    <fill>
      <patternFill patternType="solid">
        <fgColor rgb="FF002F3C"/>
        <bgColor indexed="64"/>
      </patternFill>
    </fill>
    <fill>
      <patternFill patternType="solid">
        <fgColor rgb="FFBFCBCE"/>
        <bgColor indexed="64"/>
      </patternFill>
    </fill>
    <fill>
      <patternFill patternType="solid">
        <fgColor rgb="FFFCEAE0"/>
        <bgColor indexed="64"/>
      </patternFill>
    </fill>
    <fill>
      <patternFill patternType="solid">
        <fgColor rgb="FFE6661F"/>
        <bgColor indexed="64"/>
      </patternFill>
    </fill>
    <fill>
      <patternFill patternType="solid">
        <fgColor rgb="FFF9D9C7"/>
        <bgColor indexed="64"/>
      </patternFill>
    </fill>
    <fill>
      <patternFill patternType="solid">
        <fgColor rgb="FFE6E4E2"/>
        <bgColor indexed="64"/>
      </patternFill>
    </fill>
    <fill>
      <patternFill patternType="solid">
        <fgColor rgb="FF402E24"/>
        <bgColor indexed="64"/>
      </patternFill>
    </fill>
    <fill>
      <patternFill patternType="solid">
        <fgColor rgb="FFCFCBC8"/>
        <bgColor indexed="64"/>
      </patternFill>
    </fill>
    <fill>
      <patternFill patternType="solid">
        <fgColor rgb="FFB2B0C8"/>
        <bgColor rgb="FFB7B7B7"/>
      </patternFill>
    </fill>
    <fill>
      <patternFill patternType="solid">
        <fgColor theme="6" tint="0.59999389629810485"/>
        <bgColor indexed="64"/>
      </patternFill>
    </fill>
    <fill>
      <patternFill patternType="solid">
        <fgColor theme="0" tint="-0.14999847407452621"/>
        <bgColor indexed="64"/>
      </patternFill>
    </fill>
    <fill>
      <patternFill patternType="solid">
        <fgColor rgb="FFDDA8C7"/>
        <bgColor indexed="64"/>
      </patternFill>
    </fill>
    <fill>
      <patternFill patternType="solid">
        <fgColor rgb="FFF4EE78"/>
        <bgColor indexed="64"/>
      </patternFill>
    </fill>
    <fill>
      <patternFill patternType="solid">
        <fgColor rgb="FF6ACC76"/>
        <bgColor indexed="64"/>
      </patternFill>
    </fill>
    <fill>
      <patternFill patternType="solid">
        <fgColor theme="7" tint="0.59999389629810485"/>
        <bgColor indexed="64"/>
      </patternFill>
    </fill>
    <fill>
      <patternFill patternType="solid">
        <fgColor theme="2"/>
        <bgColor indexed="64"/>
      </patternFill>
    </fill>
    <fill>
      <patternFill patternType="solid">
        <fgColor theme="0"/>
        <bgColor indexed="64"/>
      </patternFill>
    </fill>
    <fill>
      <patternFill patternType="solid">
        <fgColor theme="5" tint="0.59999389629810485"/>
        <bgColor indexed="64"/>
      </patternFill>
    </fill>
    <fill>
      <patternFill patternType="solid">
        <fgColor rgb="FFFFFFFF"/>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FFCCFF"/>
        <bgColor indexed="64"/>
      </patternFill>
    </fill>
    <fill>
      <patternFill patternType="solid">
        <fgColor theme="4" tint="0.59999389629810485"/>
        <bgColor indexed="64"/>
      </patternFill>
    </fill>
    <fill>
      <patternFill patternType="solid">
        <fgColor rgb="FF002060"/>
        <bgColor indexed="64"/>
      </patternFill>
    </fill>
    <fill>
      <patternFill patternType="solid">
        <fgColor theme="0" tint="-0.249977111117893"/>
        <bgColor indexed="64"/>
      </patternFill>
    </fill>
    <fill>
      <patternFill patternType="solid">
        <fgColor rgb="FFD9D9D9"/>
        <bgColor rgb="FFD9D9D9"/>
      </patternFill>
    </fill>
    <fill>
      <patternFill patternType="solid">
        <fgColor theme="4"/>
        <bgColor indexed="64"/>
      </patternFill>
    </fill>
    <fill>
      <patternFill patternType="solid">
        <fgColor rgb="FFCFE2F3"/>
        <bgColor rgb="FFCFE2F3"/>
      </patternFill>
    </fill>
    <fill>
      <patternFill patternType="solid">
        <fgColor theme="4" tint="0.79998168889431442"/>
        <bgColor indexed="64"/>
      </patternFill>
    </fill>
  </fills>
  <borders count="66">
    <border>
      <left/>
      <right/>
      <top/>
      <bottom/>
      <diagonal/>
    </border>
    <border>
      <left/>
      <right/>
      <top/>
      <bottom style="thin">
        <color theme="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000000"/>
      </left>
      <right/>
      <top style="thin">
        <color rgb="FF000000"/>
      </top>
      <bottom style="thin">
        <color rgb="FF000000"/>
      </bottom>
      <diagonal/>
    </border>
    <border>
      <left style="thin">
        <color rgb="FF000000"/>
      </left>
      <right/>
      <top style="thin">
        <color rgb="FF000000"/>
      </top>
      <bottom style="thin">
        <color auto="1"/>
      </bottom>
      <diagonal/>
    </border>
    <border>
      <left/>
      <right style="thin">
        <color rgb="FF000000"/>
      </right>
      <top style="thin">
        <color rgb="FF000000"/>
      </top>
      <bottom style="thin">
        <color auto="1"/>
      </bottom>
      <diagonal/>
    </border>
    <border>
      <left style="thin">
        <color rgb="FF000000"/>
      </left>
      <right/>
      <top/>
      <bottom/>
      <diagonal/>
    </border>
    <border>
      <left style="medium">
        <color rgb="FFBFBFBF"/>
      </left>
      <right/>
      <top/>
      <bottom/>
      <diagonal/>
    </border>
    <border>
      <left style="medium">
        <color rgb="FFBFBFBF"/>
      </left>
      <right style="medium">
        <color rgb="FFBFBFBF"/>
      </right>
      <top/>
      <bottom/>
      <diagonal/>
    </border>
    <border>
      <left style="thin">
        <color indexed="64"/>
      </left>
      <right/>
      <top style="thin">
        <color indexed="64"/>
      </top>
      <bottom/>
      <diagonal/>
    </border>
    <border>
      <left/>
      <right/>
      <top style="thin">
        <color indexed="64"/>
      </top>
      <bottom/>
      <diagonal/>
    </border>
    <border>
      <left/>
      <right style="thin">
        <color theme="2" tint="-0.249977111117893"/>
      </right>
      <top style="thin">
        <color indexed="64"/>
      </top>
      <bottom/>
      <diagonal/>
    </border>
    <border>
      <left style="thin">
        <color indexed="64"/>
      </left>
      <right/>
      <top/>
      <bottom/>
      <diagonal/>
    </border>
    <border>
      <left/>
      <right style="thin">
        <color theme="2" tint="-0.249977111117893"/>
      </right>
      <top/>
      <bottom/>
      <diagonal/>
    </border>
    <border>
      <left style="thin">
        <color theme="2" tint="-0.249977111117893"/>
      </left>
      <right/>
      <top/>
      <bottom/>
      <diagonal/>
    </border>
    <border>
      <left/>
      <right style="thin">
        <color rgb="FF1E185F"/>
      </right>
      <top style="thin">
        <color theme="0"/>
      </top>
      <bottom/>
      <diagonal/>
    </border>
    <border>
      <left style="thin">
        <color theme="0"/>
      </left>
      <right/>
      <top/>
      <bottom/>
      <diagonal/>
    </border>
    <border>
      <left/>
      <right style="thin">
        <color rgb="FF1E185F"/>
      </right>
      <top/>
      <bottom/>
      <diagonal/>
    </border>
    <border>
      <left style="thin">
        <color theme="0"/>
      </left>
      <right/>
      <top/>
      <bottom style="thin">
        <color rgb="FF1E185F"/>
      </bottom>
      <diagonal/>
    </border>
    <border>
      <left/>
      <right style="thin">
        <color rgb="FF1E185F"/>
      </right>
      <top/>
      <bottom style="thin">
        <color rgb="FF1E185F"/>
      </bottom>
      <diagonal/>
    </border>
    <border>
      <left style="thick">
        <color rgb="FF7A1E02"/>
      </left>
      <right style="thick">
        <color rgb="FF7A1E02"/>
      </right>
      <top style="thick">
        <color rgb="FF7A1E02"/>
      </top>
      <bottom style="thick">
        <color rgb="FF7A1E02"/>
      </bottom>
      <diagonal/>
    </border>
    <border>
      <left style="thick">
        <color rgb="FF4F6529"/>
      </left>
      <right style="thick">
        <color rgb="FF4F6529"/>
      </right>
      <top style="thick">
        <color rgb="FF4F6529"/>
      </top>
      <bottom style="thick">
        <color rgb="FF4F6529"/>
      </bottom>
      <diagonal/>
    </border>
    <border>
      <left style="thick">
        <color rgb="FFAA2573"/>
      </left>
      <right style="thick">
        <color rgb="FFAA2573"/>
      </right>
      <top style="thick">
        <color rgb="FFAA2573"/>
      </top>
      <bottom style="thick">
        <color rgb="FFAA2573"/>
      </bottom>
      <diagonal/>
    </border>
    <border>
      <left style="thick">
        <color rgb="FF002F3C"/>
      </left>
      <right style="thick">
        <color rgb="FF002F3C"/>
      </right>
      <top style="thick">
        <color rgb="FF002F3C"/>
      </top>
      <bottom style="thick">
        <color rgb="FF002F3C"/>
      </bottom>
      <diagonal/>
    </border>
    <border>
      <left style="thick">
        <color rgb="FFE6661F"/>
      </left>
      <right style="thick">
        <color rgb="FFE6661F"/>
      </right>
      <top style="thick">
        <color rgb="FFE6661F"/>
      </top>
      <bottom style="thick">
        <color rgb="FFE6661F"/>
      </bottom>
      <diagonal/>
    </border>
    <border>
      <left style="thick">
        <color rgb="FF402E24"/>
      </left>
      <right style="thick">
        <color rgb="FF402E24"/>
      </right>
      <top style="thick">
        <color rgb="FF402E24"/>
      </top>
      <bottom style="thick">
        <color rgb="FF402E2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right/>
      <top style="thin">
        <color rgb="FF000000"/>
      </top>
      <bottom style="thin">
        <color rgb="FF000000"/>
      </bottom>
      <diagonal/>
    </border>
    <border>
      <left/>
      <right style="thin">
        <color rgb="FF000000"/>
      </right>
      <top/>
      <bottom style="thin">
        <color rgb="FF000000"/>
      </bottom>
      <diagonal/>
    </border>
    <border>
      <left/>
      <right/>
      <top/>
      <bottom style="thin">
        <color rgb="FF000000"/>
      </bottom>
      <diagonal/>
    </border>
    <border>
      <left/>
      <right/>
      <top style="thin">
        <color rgb="FF000000"/>
      </top>
      <bottom/>
      <diagonal/>
    </border>
    <border>
      <left style="thin">
        <color rgb="FF000000"/>
      </left>
      <right style="thin">
        <color rgb="FF000000"/>
      </right>
      <top/>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right style="thin">
        <color rgb="FF000000"/>
      </right>
      <top/>
      <bottom/>
      <diagonal/>
    </border>
    <border>
      <left style="thin">
        <color rgb="FF000000"/>
      </left>
      <right/>
      <top style="thin">
        <color rgb="FF000000"/>
      </top>
      <bottom/>
      <diagonal/>
    </border>
    <border>
      <left style="thin">
        <color indexed="64"/>
      </left>
      <right/>
      <top/>
      <bottom style="thin">
        <color rgb="FF000000"/>
      </bottom>
      <diagonal/>
    </border>
    <border>
      <left/>
      <right style="thin">
        <color indexed="64"/>
      </right>
      <top style="thin">
        <color indexed="64"/>
      </top>
      <bottom/>
      <diagonal/>
    </border>
    <border>
      <left style="thin">
        <color indexed="64"/>
      </left>
      <right/>
      <top/>
      <bottom style="thin">
        <color indexed="64"/>
      </bottom>
      <diagonal/>
    </border>
    <border>
      <left style="thin">
        <color auto="1"/>
      </left>
      <right style="thin">
        <color indexed="64"/>
      </right>
      <top style="thin">
        <color auto="1"/>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thin">
        <color rgb="FF000000"/>
      </left>
      <right style="thin">
        <color indexed="64"/>
      </right>
      <top style="thin">
        <color rgb="FF000000"/>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right/>
      <top style="thin">
        <color rgb="FF000000"/>
      </top>
      <bottom style="thin">
        <color indexed="64"/>
      </bottom>
      <diagonal/>
    </border>
    <border>
      <left style="thin">
        <color indexed="64"/>
      </left>
      <right/>
      <top style="thin">
        <color rgb="FF000000"/>
      </top>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diagonal/>
    </border>
    <border>
      <left style="thin">
        <color indexed="64"/>
      </left>
      <right style="thin">
        <color rgb="FF000000"/>
      </right>
      <top/>
      <bottom style="thin">
        <color rgb="FF000000"/>
      </bottom>
      <diagonal/>
    </border>
    <border>
      <left style="thin">
        <color indexed="64"/>
      </left>
      <right style="thin">
        <color indexed="64"/>
      </right>
      <top style="thin">
        <color rgb="FF000000"/>
      </top>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thin">
        <color rgb="FF000000"/>
      </right>
      <top/>
      <bottom style="thin">
        <color indexed="64"/>
      </bottom>
      <diagonal/>
    </border>
  </borders>
  <cellStyleXfs count="13">
    <xf numFmtId="0" fontId="0" fillId="0" borderId="0"/>
    <xf numFmtId="0" fontId="17" fillId="0" borderId="0" applyNumberFormat="0" applyFill="0" applyBorder="0" applyAlignment="0" applyProtection="0"/>
    <xf numFmtId="0" fontId="7" fillId="0" borderId="0"/>
    <xf numFmtId="0" fontId="21" fillId="0" borderId="0" applyNumberFormat="0" applyFill="0" applyBorder="0" applyAlignment="0" applyProtection="0"/>
    <xf numFmtId="0" fontId="12" fillId="0" borderId="0"/>
    <xf numFmtId="0" fontId="6" fillId="0" borderId="0"/>
    <xf numFmtId="0" fontId="5" fillId="0" borderId="0"/>
    <xf numFmtId="0" fontId="4" fillId="0" borderId="0"/>
    <xf numFmtId="0" fontId="3" fillId="0" borderId="0"/>
    <xf numFmtId="0" fontId="2" fillId="0" borderId="0"/>
    <xf numFmtId="0" fontId="56" fillId="0" borderId="0"/>
    <xf numFmtId="0" fontId="75" fillId="0" borderId="0" applyNumberFormat="0" applyFill="0" applyBorder="0" applyAlignment="0" applyProtection="0"/>
    <xf numFmtId="0" fontId="62" fillId="0" borderId="0"/>
  </cellStyleXfs>
  <cellXfs count="443">
    <xf numFmtId="0" fontId="0" fillId="0" borderId="0" xfId="0" applyFont="1" applyAlignment="1"/>
    <xf numFmtId="0" fontId="11" fillId="0" borderId="0" xfId="0" applyFont="1" applyAlignment="1"/>
    <xf numFmtId="0" fontId="10" fillId="0" borderId="0" xfId="0" applyFont="1" applyAlignment="1"/>
    <xf numFmtId="0" fontId="10" fillId="0" borderId="0" xfId="0" applyFont="1" applyAlignment="1">
      <alignment wrapText="1"/>
    </xf>
    <xf numFmtId="0" fontId="0" fillId="0" borderId="0" xfId="0" applyFont="1" applyAlignment="1"/>
    <xf numFmtId="0" fontId="0" fillId="0" borderId="0" xfId="0" applyFont="1" applyAlignment="1">
      <alignment horizontal="center" vertical="top"/>
    </xf>
    <xf numFmtId="0" fontId="0" fillId="0" borderId="0" xfId="0" applyFont="1" applyAlignment="1">
      <alignment horizontal="right" vertical="top"/>
    </xf>
    <xf numFmtId="0" fontId="9" fillId="0" borderId="0" xfId="0" applyFont="1" applyFill="1" applyAlignment="1">
      <alignment horizontal="center"/>
    </xf>
    <xf numFmtId="0" fontId="13" fillId="0" borderId="0" xfId="0" applyFont="1" applyAlignment="1"/>
    <xf numFmtId="0" fontId="0" fillId="0" borderId="0" xfId="0" applyFont="1" applyAlignment="1"/>
    <xf numFmtId="0" fontId="11" fillId="0" borderId="0" xfId="0" applyFont="1" applyFill="1" applyAlignment="1"/>
    <xf numFmtId="0" fontId="0" fillId="0" borderId="0" xfId="0" applyFont="1" applyAlignment="1"/>
    <xf numFmtId="0" fontId="0" fillId="0" borderId="0" xfId="0" applyFont="1" applyAlignment="1"/>
    <xf numFmtId="0" fontId="15" fillId="0" borderId="0" xfId="0" applyFont="1" applyFill="1" applyAlignment="1">
      <alignment horizontal="center"/>
    </xf>
    <xf numFmtId="0" fontId="14" fillId="0" borderId="0" xfId="0" applyFont="1" applyAlignment="1"/>
    <xf numFmtId="0" fontId="25" fillId="4" borderId="0" xfId="4" applyFont="1" applyFill="1"/>
    <xf numFmtId="0" fontId="25" fillId="0" borderId="0" xfId="4" applyFont="1"/>
    <xf numFmtId="0" fontId="25" fillId="0" borderId="15" xfId="4" applyFont="1" applyBorder="1"/>
    <xf numFmtId="0" fontId="25" fillId="0" borderId="16" xfId="4" applyFont="1" applyBorder="1"/>
    <xf numFmtId="0" fontId="25" fillId="4" borderId="17" xfId="4" applyFont="1" applyFill="1" applyBorder="1"/>
    <xf numFmtId="0" fontId="26" fillId="0" borderId="16" xfId="4" applyFont="1" applyBorder="1" applyAlignment="1">
      <alignment horizontal="left" vertical="top" wrapText="1"/>
    </xf>
    <xf numFmtId="0" fontId="26" fillId="0" borderId="15" xfId="4" applyFont="1" applyBorder="1"/>
    <xf numFmtId="0" fontId="26" fillId="0" borderId="0" xfId="4" applyFont="1"/>
    <xf numFmtId="0" fontId="26" fillId="0" borderId="16" xfId="4" applyFont="1" applyBorder="1"/>
    <xf numFmtId="0" fontId="26" fillId="0" borderId="15" xfId="4" applyFont="1" applyBorder="1" applyAlignment="1">
      <alignment vertical="top" wrapText="1"/>
    </xf>
    <xf numFmtId="0" fontId="26" fillId="0" borderId="0" xfId="4" applyFont="1" applyAlignment="1">
      <alignment vertical="top" wrapText="1"/>
    </xf>
    <xf numFmtId="0" fontId="26" fillId="0" borderId="16" xfId="4" applyFont="1" applyBorder="1" applyAlignment="1">
      <alignment vertical="top" wrapText="1"/>
    </xf>
    <xf numFmtId="0" fontId="25" fillId="4" borderId="0" xfId="4" applyFont="1" applyFill="1" applyAlignment="1">
      <alignment horizontal="left" vertical="top" wrapText="1"/>
    </xf>
    <xf numFmtId="0" fontId="25" fillId="4" borderId="0" xfId="4" applyFont="1" applyFill="1" applyAlignment="1">
      <alignment vertical="top" wrapText="1"/>
    </xf>
    <xf numFmtId="0" fontId="27" fillId="0" borderId="0" xfId="4" applyFont="1" applyAlignment="1">
      <alignment wrapText="1"/>
    </xf>
    <xf numFmtId="0" fontId="27" fillId="0" borderId="0" xfId="4" applyFont="1"/>
    <xf numFmtId="0" fontId="28" fillId="0" borderId="0" xfId="4" applyFont="1"/>
    <xf numFmtId="0" fontId="12" fillId="3" borderId="19" xfId="4" applyFill="1" applyBorder="1"/>
    <xf numFmtId="0" fontId="29" fillId="0" borderId="20" xfId="4" applyFont="1" applyBorder="1" applyAlignment="1">
      <alignment horizontal="left" vertical="center" wrapText="1" indent="1"/>
    </xf>
    <xf numFmtId="0" fontId="30" fillId="0" borderId="0" xfId="4" applyFont="1"/>
    <xf numFmtId="0" fontId="10" fillId="0" borderId="0" xfId="4" applyFont="1" applyAlignment="1">
      <alignment wrapText="1"/>
    </xf>
    <xf numFmtId="0" fontId="10" fillId="0" borderId="0" xfId="4" applyFont="1"/>
    <xf numFmtId="0" fontId="12" fillId="0" borderId="0" xfId="4"/>
    <xf numFmtId="0" fontId="31" fillId="0" borderId="20" xfId="4" applyFont="1" applyBorder="1" applyAlignment="1">
      <alignment horizontal="left" vertical="center" wrapText="1" indent="1"/>
    </xf>
    <xf numFmtId="0" fontId="12" fillId="3" borderId="21" xfId="4" applyFill="1" applyBorder="1"/>
    <xf numFmtId="0" fontId="31" fillId="0" borderId="22" xfId="4" applyFont="1" applyBorder="1" applyAlignment="1">
      <alignment horizontal="left" vertical="center" wrapText="1" indent="1"/>
    </xf>
    <xf numFmtId="0" fontId="12" fillId="0" borderId="0" xfId="4" applyAlignment="1">
      <alignment wrapText="1"/>
    </xf>
    <xf numFmtId="0" fontId="32" fillId="0" borderId="0" xfId="4" applyFont="1"/>
    <xf numFmtId="0" fontId="33" fillId="5" borderId="23" xfId="4" applyFont="1" applyFill="1" applyBorder="1" applyAlignment="1">
      <alignment wrapText="1"/>
    </xf>
    <xf numFmtId="0" fontId="35" fillId="0" borderId="0" xfId="4" applyFont="1"/>
    <xf numFmtId="0" fontId="29" fillId="0" borderId="0" xfId="4" applyFont="1" applyAlignment="1">
      <alignment vertical="center" wrapText="1"/>
    </xf>
    <xf numFmtId="0" fontId="29" fillId="7" borderId="0" xfId="4" applyFont="1" applyFill="1" applyAlignment="1">
      <alignment vertical="center" wrapText="1"/>
    </xf>
    <xf numFmtId="0" fontId="25" fillId="0" borderId="0" xfId="4" applyFont="1" applyAlignment="1">
      <alignment wrapText="1"/>
    </xf>
    <xf numFmtId="0" fontId="25" fillId="0" borderId="0" xfId="4" applyFont="1" applyAlignment="1">
      <alignment vertical="center" wrapText="1"/>
    </xf>
    <xf numFmtId="0" fontId="37" fillId="0" borderId="0" xfId="1" applyFont="1" applyAlignment="1">
      <alignment horizontal="left" vertical="center" wrapText="1"/>
    </xf>
    <xf numFmtId="0" fontId="29" fillId="0" borderId="0" xfId="4" applyFont="1" applyAlignment="1">
      <alignment horizontal="left" vertical="center" wrapText="1"/>
    </xf>
    <xf numFmtId="0" fontId="33" fillId="8" borderId="24" xfId="4" applyFont="1" applyFill="1" applyBorder="1" applyAlignment="1">
      <alignment wrapText="1"/>
    </xf>
    <xf numFmtId="0" fontId="38" fillId="0" borderId="0" xfId="4" applyFont="1" applyAlignment="1">
      <alignment wrapText="1"/>
    </xf>
    <xf numFmtId="0" fontId="19" fillId="9" borderId="0" xfId="4" applyFont="1" applyFill="1" applyAlignment="1">
      <alignment vertical="center" wrapText="1"/>
    </xf>
    <xf numFmtId="0" fontId="39" fillId="0" borderId="0" xfId="4" applyFont="1" applyAlignment="1">
      <alignment wrapText="1"/>
    </xf>
    <xf numFmtId="0" fontId="29" fillId="10" borderId="0" xfId="4" applyFont="1" applyFill="1" applyAlignment="1">
      <alignment vertical="center" wrapText="1"/>
    </xf>
    <xf numFmtId="0" fontId="33" fillId="11" borderId="25" xfId="4" applyFont="1" applyFill="1" applyBorder="1" applyAlignment="1">
      <alignment wrapText="1"/>
    </xf>
    <xf numFmtId="0" fontId="40" fillId="0" borderId="0" xfId="4" applyFont="1"/>
    <xf numFmtId="0" fontId="40" fillId="0" borderId="0" xfId="4" applyFont="1" applyAlignment="1">
      <alignment wrapText="1"/>
    </xf>
    <xf numFmtId="0" fontId="41" fillId="12" borderId="0" xfId="4" applyFont="1" applyFill="1" applyAlignment="1">
      <alignment vertical="center"/>
    </xf>
    <xf numFmtId="0" fontId="42" fillId="0" borderId="0" xfId="4" applyFont="1"/>
    <xf numFmtId="0" fontId="43" fillId="0" borderId="0" xfId="4" applyFont="1" applyAlignment="1">
      <alignment vertical="center" wrapText="1"/>
    </xf>
    <xf numFmtId="0" fontId="43" fillId="13" borderId="0" xfId="4" applyFont="1" applyFill="1" applyAlignment="1">
      <alignment vertical="center"/>
    </xf>
    <xf numFmtId="0" fontId="43" fillId="13" borderId="0" xfId="4" applyFont="1" applyFill="1" applyAlignment="1">
      <alignment vertical="center" wrapText="1"/>
    </xf>
    <xf numFmtId="0" fontId="43" fillId="0" borderId="0" xfId="4" applyFont="1" applyAlignment="1">
      <alignment vertical="center"/>
    </xf>
    <xf numFmtId="0" fontId="43" fillId="13" borderId="0" xfId="4" applyFont="1" applyFill="1"/>
    <xf numFmtId="0" fontId="25" fillId="0" borderId="0" xfId="4" applyFont="1" applyAlignment="1">
      <alignment vertical="center"/>
    </xf>
    <xf numFmtId="0" fontId="33" fillId="14" borderId="26" xfId="4" applyFont="1" applyFill="1" applyBorder="1" applyAlignment="1">
      <alignment wrapText="1"/>
    </xf>
    <xf numFmtId="0" fontId="41" fillId="15" borderId="0" xfId="4" applyFont="1" applyFill="1" applyAlignment="1">
      <alignment vertical="center" wrapText="1"/>
    </xf>
    <xf numFmtId="0" fontId="42" fillId="0" borderId="0" xfId="4" applyFont="1" applyAlignment="1">
      <alignment wrapText="1"/>
    </xf>
    <xf numFmtId="0" fontId="43" fillId="16" borderId="0" xfId="4" applyFont="1" applyFill="1" applyAlignment="1">
      <alignment vertical="center" wrapText="1"/>
    </xf>
    <xf numFmtId="0" fontId="46" fillId="0" borderId="0" xfId="1" applyFont="1" applyAlignment="1">
      <alignment horizontal="left" vertical="center" wrapText="1"/>
    </xf>
    <xf numFmtId="0" fontId="33" fillId="17" borderId="27" xfId="4" applyFont="1" applyFill="1" applyBorder="1" applyAlignment="1">
      <alignment wrapText="1"/>
    </xf>
    <xf numFmtId="0" fontId="43" fillId="0" borderId="0" xfId="4" applyFont="1"/>
    <xf numFmtId="0" fontId="19" fillId="18" borderId="0" xfId="4" applyFont="1" applyFill="1" applyAlignment="1">
      <alignment vertical="center" wrapText="1"/>
    </xf>
    <xf numFmtId="0" fontId="29" fillId="19" borderId="0" xfId="4" applyFont="1" applyFill="1" applyAlignment="1">
      <alignment vertical="center" wrapText="1"/>
    </xf>
    <xf numFmtId="0" fontId="43" fillId="0" borderId="0" xfId="4" applyFont="1" applyAlignment="1">
      <alignment horizontal="left" vertical="center" wrapText="1"/>
    </xf>
    <xf numFmtId="0" fontId="33" fillId="20" borderId="28" xfId="4" applyFont="1" applyFill="1" applyBorder="1" applyAlignment="1">
      <alignment wrapText="1"/>
    </xf>
    <xf numFmtId="0" fontId="38" fillId="0" borderId="0" xfId="4" applyFont="1"/>
    <xf numFmtId="0" fontId="19" fillId="21" borderId="0" xfId="4" applyFont="1" applyFill="1" applyAlignment="1">
      <alignment vertical="center" wrapText="1"/>
    </xf>
    <xf numFmtId="0" fontId="47" fillId="0" borderId="0" xfId="4" applyFont="1"/>
    <xf numFmtId="0" fontId="29" fillId="22" borderId="0" xfId="4" applyFont="1" applyFill="1" applyAlignment="1">
      <alignment vertical="center" wrapText="1"/>
    </xf>
    <xf numFmtId="0" fontId="37" fillId="0" borderId="0" xfId="1" applyFont="1" applyAlignment="1">
      <alignment horizontal="left" vertical="center" indent="4"/>
    </xf>
    <xf numFmtId="0" fontId="8" fillId="23" borderId="29" xfId="4" applyFont="1" applyFill="1" applyBorder="1" applyAlignment="1">
      <alignment horizontal="left" vertical="center" wrapText="1"/>
    </xf>
    <xf numFmtId="0" fontId="50" fillId="0" borderId="0" xfId="4" applyFont="1" applyAlignment="1">
      <alignment wrapText="1"/>
    </xf>
    <xf numFmtId="0" fontId="32" fillId="0" borderId="0" xfId="4" applyFont="1" applyAlignment="1">
      <alignment wrapText="1"/>
    </xf>
    <xf numFmtId="0" fontId="51" fillId="2" borderId="0" xfId="0" applyFont="1" applyFill="1" applyAlignment="1"/>
    <xf numFmtId="0" fontId="52" fillId="2" borderId="0" xfId="0" applyFont="1" applyFill="1" applyAlignment="1"/>
    <xf numFmtId="0" fontId="16" fillId="2" borderId="0" xfId="4" applyFont="1" applyFill="1" applyAlignment="1">
      <alignment wrapText="1"/>
    </xf>
    <xf numFmtId="0" fontId="52" fillId="2" borderId="0" xfId="0" applyFont="1" applyFill="1" applyAlignment="1">
      <alignment wrapText="1"/>
    </xf>
    <xf numFmtId="0" fontId="11" fillId="0" borderId="0" xfId="0" applyFont="1" applyAlignment="1">
      <alignment horizontal="left"/>
    </xf>
    <xf numFmtId="0" fontId="25" fillId="0" borderId="0" xfId="0" applyFont="1"/>
    <xf numFmtId="0" fontId="0" fillId="0" borderId="0" xfId="0" applyFont="1" applyFill="1" applyAlignment="1"/>
    <xf numFmtId="0" fontId="24" fillId="40" borderId="18" xfId="4" applyFont="1" applyFill="1" applyBorder="1" applyAlignment="1">
      <alignment horizontal="center"/>
    </xf>
    <xf numFmtId="0" fontId="43" fillId="13" borderId="0" xfId="4" applyFont="1" applyFill="1" applyAlignment="1">
      <alignment wrapText="1"/>
    </xf>
    <xf numFmtId="0" fontId="67" fillId="41" borderId="0" xfId="0" applyFont="1" applyFill="1" applyAlignment="1">
      <alignment vertical="top"/>
    </xf>
    <xf numFmtId="0" fontId="68" fillId="0" borderId="0" xfId="0" applyFont="1" applyAlignment="1"/>
    <xf numFmtId="0" fontId="26" fillId="0" borderId="0" xfId="4" applyFont="1" applyAlignment="1">
      <alignment horizontal="left" vertical="top" wrapText="1"/>
    </xf>
    <xf numFmtId="0" fontId="29" fillId="0" borderId="0" xfId="4" applyFont="1"/>
    <xf numFmtId="0" fontId="2" fillId="0" borderId="1" xfId="9" applyBorder="1"/>
    <xf numFmtId="0" fontId="2" fillId="0" borderId="0" xfId="9"/>
    <xf numFmtId="0" fontId="18" fillId="0" borderId="0" xfId="9" applyFont="1"/>
    <xf numFmtId="0" fontId="20" fillId="0" borderId="0" xfId="9" applyFont="1"/>
    <xf numFmtId="0" fontId="18" fillId="0" borderId="0" xfId="9" applyFont="1" applyAlignment="1">
      <alignment horizontal="left" vertical="center" wrapText="1" indent="1"/>
    </xf>
    <xf numFmtId="0" fontId="19" fillId="40" borderId="6" xfId="9" applyFont="1" applyFill="1" applyBorder="1" applyAlignment="1">
      <alignment horizontal="left" vertical="center" wrapText="1" indent="1"/>
    </xf>
    <xf numFmtId="0" fontId="18" fillId="0" borderId="0" xfId="9" applyFont="1" applyAlignment="1" applyProtection="1">
      <alignment horizontal="left" vertical="center" wrapText="1" indent="1"/>
      <protection locked="0"/>
    </xf>
    <xf numFmtId="0" fontId="22" fillId="0" borderId="10" xfId="9" applyFont="1" applyBorder="1" applyAlignment="1">
      <alignment horizontal="left" vertical="center" wrapText="1" indent="1"/>
    </xf>
    <xf numFmtId="0" fontId="18" fillId="0" borderId="0" xfId="9" applyFont="1" applyAlignment="1">
      <alignment horizontal="left" indent="1"/>
    </xf>
    <xf numFmtId="0" fontId="18" fillId="0" borderId="11" xfId="9" applyFont="1" applyBorder="1" applyAlignment="1">
      <alignment horizontal="left" vertical="center" wrapText="1" indent="1"/>
    </xf>
    <xf numFmtId="0" fontId="55" fillId="0" borderId="0" xfId="4" applyFont="1"/>
    <xf numFmtId="0" fontId="54" fillId="0" borderId="0" xfId="4" applyFont="1"/>
    <xf numFmtId="0" fontId="2" fillId="0" borderId="15" xfId="4" applyFont="1" applyBorder="1" applyAlignment="1">
      <alignment horizontal="left" vertical="top" wrapText="1"/>
    </xf>
    <xf numFmtId="0" fontId="2" fillId="0" borderId="0" xfId="4" applyFont="1" applyAlignment="1">
      <alignment vertical="top" wrapText="1"/>
    </xf>
    <xf numFmtId="0" fontId="2" fillId="0" borderId="15" xfId="4" applyFont="1" applyBorder="1" applyAlignment="1">
      <alignment horizontal="left" vertical="top" wrapText="1" indent="1"/>
    </xf>
    <xf numFmtId="0" fontId="26" fillId="0" borderId="0" xfId="4" applyFont="1" applyAlignment="1">
      <alignment horizontal="left" vertical="top" wrapText="1" indent="1"/>
    </xf>
    <xf numFmtId="0" fontId="72" fillId="6" borderId="0" xfId="1" applyFont="1" applyFill="1" applyAlignment="1">
      <alignment vertical="center" wrapText="1"/>
    </xf>
    <xf numFmtId="0" fontId="73" fillId="7" borderId="0" xfId="1" applyFont="1" applyFill="1" applyAlignment="1">
      <alignment horizontal="left" vertical="center" wrapText="1"/>
    </xf>
    <xf numFmtId="0" fontId="17" fillId="0" borderId="0" xfId="1" applyAlignment="1">
      <alignment horizontal="left" vertical="center" wrapText="1"/>
    </xf>
    <xf numFmtId="0" fontId="73" fillId="10" borderId="0" xfId="1" applyFont="1" applyFill="1" applyAlignment="1">
      <alignment vertical="center" wrapText="1"/>
    </xf>
    <xf numFmtId="0" fontId="17" fillId="0" borderId="0" xfId="1" applyAlignment="1">
      <alignment horizontal="left" vertical="center" indent="4"/>
    </xf>
    <xf numFmtId="0" fontId="56" fillId="0" borderId="0" xfId="10"/>
    <xf numFmtId="0" fontId="53" fillId="0" borderId="0" xfId="10" applyFont="1" applyAlignment="1">
      <alignment vertical="center"/>
    </xf>
    <xf numFmtId="0" fontId="77" fillId="0" borderId="0" xfId="10" applyFont="1" applyAlignment="1">
      <alignment vertical="center"/>
    </xf>
    <xf numFmtId="0" fontId="56" fillId="0" borderId="0" xfId="10" applyAlignment="1">
      <alignment vertical="center"/>
    </xf>
    <xf numFmtId="0" fontId="56" fillId="0" borderId="0" xfId="10" applyAlignment="1">
      <alignment wrapText="1"/>
    </xf>
    <xf numFmtId="0" fontId="56" fillId="0" borderId="34" xfId="10" applyBorder="1"/>
    <xf numFmtId="0" fontId="56" fillId="0" borderId="33" xfId="10" applyBorder="1" applyAlignment="1">
      <alignment wrapText="1"/>
    </xf>
    <xf numFmtId="0" fontId="56" fillId="0" borderId="50" xfId="10" applyBorder="1" applyAlignment="1">
      <alignment wrapText="1"/>
    </xf>
    <xf numFmtId="0" fontId="57" fillId="0" borderId="5" xfId="10" applyFont="1" applyBorder="1"/>
    <xf numFmtId="0" fontId="56" fillId="0" borderId="51" xfId="10" applyBorder="1"/>
    <xf numFmtId="0" fontId="56" fillId="0" borderId="4" xfId="10" applyBorder="1"/>
    <xf numFmtId="0" fontId="57" fillId="0" borderId="49" xfId="10" applyFont="1" applyBorder="1"/>
    <xf numFmtId="0" fontId="56" fillId="0" borderId="45" xfId="10" applyBorder="1"/>
    <xf numFmtId="0" fontId="56" fillId="0" borderId="12" xfId="10" applyBorder="1"/>
    <xf numFmtId="0" fontId="53" fillId="31" borderId="0" xfId="9" applyFont="1" applyFill="1"/>
    <xf numFmtId="0" fontId="59" fillId="0" borderId="0" xfId="9" applyFont="1"/>
    <xf numFmtId="0" fontId="59" fillId="0" borderId="0" xfId="9" applyFont="1" applyAlignment="1">
      <alignment vertical="center"/>
    </xf>
    <xf numFmtId="0" fontId="53" fillId="0" borderId="0" xfId="9" applyFont="1"/>
    <xf numFmtId="0" fontId="55" fillId="30" borderId="32" xfId="9" applyFont="1" applyFill="1" applyBorder="1" applyAlignment="1">
      <alignment wrapText="1"/>
    </xf>
    <xf numFmtId="0" fontId="51" fillId="0" borderId="0" xfId="9" applyFont="1" applyAlignment="1">
      <alignment wrapText="1"/>
    </xf>
    <xf numFmtId="0" fontId="30" fillId="31" borderId="31" xfId="9" applyFont="1" applyFill="1" applyBorder="1" applyAlignment="1">
      <alignment horizontal="left" vertical="center"/>
    </xf>
    <xf numFmtId="0" fontId="30" fillId="31" borderId="31" xfId="9" applyFont="1" applyFill="1" applyBorder="1" applyAlignment="1">
      <alignment horizontal="left" vertical="center" wrapText="1"/>
    </xf>
    <xf numFmtId="0" fontId="30" fillId="0" borderId="31" xfId="9" applyFont="1" applyBorder="1" applyAlignment="1">
      <alignment horizontal="left" vertical="center"/>
    </xf>
    <xf numFmtId="0" fontId="30" fillId="0" borderId="31" xfId="9" applyFont="1" applyBorder="1" applyAlignment="1">
      <alignment horizontal="left" vertical="center" wrapText="1"/>
    </xf>
    <xf numFmtId="0" fontId="60" fillId="0" borderId="0" xfId="9" applyFont="1"/>
    <xf numFmtId="0" fontId="54" fillId="0" borderId="0" xfId="9" applyFont="1"/>
    <xf numFmtId="0" fontId="55" fillId="30" borderId="31" xfId="9" applyFont="1" applyFill="1" applyBorder="1" applyAlignment="1">
      <alignment horizontal="left" wrapText="1"/>
    </xf>
    <xf numFmtId="0" fontId="51" fillId="0" borderId="0" xfId="9" applyFont="1" applyAlignment="1">
      <alignment horizontal="left" wrapText="1"/>
    </xf>
    <xf numFmtId="0" fontId="53" fillId="31" borderId="51" xfId="9" applyFont="1" applyFill="1" applyBorder="1" applyAlignment="1">
      <alignment horizontal="left" vertical="center"/>
    </xf>
    <xf numFmtId="0" fontId="53" fillId="31" borderId="51" xfId="9" applyFont="1" applyFill="1" applyBorder="1" applyAlignment="1">
      <alignment horizontal="left" vertical="center" wrapText="1"/>
    </xf>
    <xf numFmtId="0" fontId="51" fillId="31" borderId="0" xfId="9" applyFont="1" applyFill="1" applyAlignment="1">
      <alignment horizontal="left" wrapText="1"/>
    </xf>
    <xf numFmtId="0" fontId="54" fillId="31" borderId="31" xfId="9" applyFont="1" applyFill="1" applyBorder="1" applyAlignment="1">
      <alignment wrapText="1"/>
    </xf>
    <xf numFmtId="0" fontId="59" fillId="0" borderId="0" xfId="9" applyFont="1" applyAlignment="1">
      <alignment vertical="center" wrapText="1"/>
    </xf>
    <xf numFmtId="0" fontId="53" fillId="0" borderId="0" xfId="9" applyFont="1" applyAlignment="1">
      <alignment vertical="center" wrapText="1"/>
    </xf>
    <xf numFmtId="0" fontId="55" fillId="30" borderId="31" xfId="9" applyFont="1" applyFill="1" applyBorder="1" applyAlignment="1">
      <alignment wrapText="1"/>
    </xf>
    <xf numFmtId="0" fontId="55" fillId="30" borderId="3" xfId="9" applyFont="1" applyFill="1" applyBorder="1" applyAlignment="1">
      <alignment wrapText="1"/>
    </xf>
    <xf numFmtId="0" fontId="55" fillId="30" borderId="39" xfId="9" applyFont="1" applyFill="1" applyBorder="1" applyAlignment="1">
      <alignment wrapText="1"/>
    </xf>
    <xf numFmtId="0" fontId="55" fillId="30" borderId="51" xfId="9" applyFont="1" applyFill="1" applyBorder="1" applyAlignment="1">
      <alignment wrapText="1"/>
    </xf>
    <xf numFmtId="0" fontId="55" fillId="30" borderId="44" xfId="9" applyFont="1" applyFill="1" applyBorder="1"/>
    <xf numFmtId="0" fontId="51" fillId="0" borderId="0" xfId="9" applyFont="1"/>
    <xf numFmtId="0" fontId="51" fillId="31" borderId="0" xfId="9" applyFont="1" applyFill="1"/>
    <xf numFmtId="0" fontId="30" fillId="0" borderId="33" xfId="9" applyFont="1" applyBorder="1" applyAlignment="1">
      <alignment horizontal="left" vertical="center" wrapText="1"/>
    </xf>
    <xf numFmtId="0" fontId="30" fillId="0" borderId="34" xfId="9" applyFont="1" applyBorder="1" applyAlignment="1">
      <alignment horizontal="left" vertical="center" wrapText="1"/>
    </xf>
    <xf numFmtId="0" fontId="30" fillId="0" borderId="35" xfId="9" applyFont="1" applyBorder="1" applyAlignment="1">
      <alignment horizontal="left" vertical="center" wrapText="1"/>
    </xf>
    <xf numFmtId="0" fontId="30" fillId="0" borderId="51" xfId="9" applyFont="1" applyBorder="1" applyAlignment="1">
      <alignment horizontal="left" vertical="center" wrapText="1"/>
    </xf>
    <xf numFmtId="0" fontId="30" fillId="0" borderId="3" xfId="9" applyFont="1" applyBorder="1" applyAlignment="1">
      <alignment horizontal="left" vertical="center" wrapText="1"/>
    </xf>
    <xf numFmtId="0" fontId="30" fillId="0" borderId="36" xfId="9" applyFont="1" applyBorder="1" applyAlignment="1">
      <alignment horizontal="left" vertical="center" wrapText="1"/>
    </xf>
    <xf numFmtId="0" fontId="30" fillId="0" borderId="0" xfId="9" applyFont="1" applyAlignment="1">
      <alignment horizontal="left" vertical="center" wrapText="1"/>
    </xf>
    <xf numFmtId="0" fontId="53" fillId="33" borderId="51" xfId="9" applyFont="1" applyFill="1" applyBorder="1" applyAlignment="1">
      <alignment horizontal="left" vertical="center"/>
    </xf>
    <xf numFmtId="0" fontId="53" fillId="0" borderId="51" xfId="9" applyFont="1" applyBorder="1" applyAlignment="1">
      <alignment horizontal="left" vertical="center" wrapText="1"/>
    </xf>
    <xf numFmtId="0" fontId="53" fillId="0" borderId="51" xfId="9" applyFont="1" applyBorder="1" applyAlignment="1">
      <alignment horizontal="left" vertical="center"/>
    </xf>
    <xf numFmtId="0" fontId="30" fillId="0" borderId="37" xfId="9" applyFont="1" applyBorder="1" applyAlignment="1">
      <alignment horizontal="left" vertical="center" wrapText="1"/>
    </xf>
    <xf numFmtId="0" fontId="30" fillId="0" borderId="38" xfId="9" applyFont="1" applyBorder="1" applyAlignment="1">
      <alignment horizontal="left" vertical="center" wrapText="1"/>
    </xf>
    <xf numFmtId="0" fontId="30" fillId="0" borderId="39" xfId="9" applyFont="1" applyBorder="1" applyAlignment="1">
      <alignment horizontal="left" vertical="center" wrapText="1"/>
    </xf>
    <xf numFmtId="0" fontId="30" fillId="0" borderId="32" xfId="9" applyFont="1" applyBorder="1" applyAlignment="1">
      <alignment horizontal="left" vertical="center" wrapText="1"/>
    </xf>
    <xf numFmtId="0" fontId="30" fillId="0" borderId="40" xfId="9" applyFont="1" applyBorder="1" applyAlignment="1">
      <alignment horizontal="left" vertical="center" wrapText="1"/>
    </xf>
    <xf numFmtId="0" fontId="30" fillId="0" borderId="41" xfId="9" applyFont="1" applyBorder="1" applyAlignment="1">
      <alignment horizontal="left" vertical="center" wrapText="1"/>
    </xf>
    <xf numFmtId="0" fontId="58" fillId="24" borderId="0" xfId="9" applyFont="1" applyFill="1"/>
    <xf numFmtId="0" fontId="56" fillId="0" borderId="0" xfId="9" applyFont="1" applyAlignment="1">
      <alignment vertical="center" wrapText="1"/>
    </xf>
    <xf numFmtId="0" fontId="55" fillId="30" borderId="30" xfId="9" applyFont="1" applyFill="1" applyBorder="1"/>
    <xf numFmtId="0" fontId="30" fillId="33" borderId="35" xfId="9" applyFont="1" applyFill="1" applyBorder="1" applyAlignment="1">
      <alignment horizontal="left" vertical="center" wrapText="1"/>
    </xf>
    <xf numFmtId="0" fontId="30" fillId="33" borderId="0" xfId="9" applyFont="1" applyFill="1" applyAlignment="1">
      <alignment horizontal="left" vertical="center" wrapText="1"/>
    </xf>
    <xf numFmtId="0" fontId="54" fillId="0" borderId="42" xfId="9" applyFont="1" applyBorder="1" applyAlignment="1">
      <alignment wrapText="1"/>
    </xf>
    <xf numFmtId="0" fontId="54" fillId="0" borderId="0" xfId="9" applyFont="1" applyAlignment="1">
      <alignment wrapText="1"/>
    </xf>
    <xf numFmtId="0" fontId="30" fillId="31" borderId="34" xfId="9" applyFont="1" applyFill="1" applyBorder="1" applyAlignment="1">
      <alignment horizontal="left" vertical="center" wrapText="1"/>
    </xf>
    <xf numFmtId="0" fontId="30" fillId="31" borderId="3" xfId="9" applyFont="1" applyFill="1" applyBorder="1" applyAlignment="1">
      <alignment horizontal="left" vertical="center" wrapText="1"/>
    </xf>
    <xf numFmtId="0" fontId="53" fillId="31" borderId="0" xfId="9" applyFont="1" applyFill="1" applyAlignment="1">
      <alignment horizontal="left" vertical="center"/>
    </xf>
    <xf numFmtId="0" fontId="53" fillId="31" borderId="0" xfId="9" applyFont="1" applyFill="1" applyAlignment="1">
      <alignment horizontal="left" vertical="center" wrapText="1"/>
    </xf>
    <xf numFmtId="0" fontId="53" fillId="31" borderId="34" xfId="9" applyFont="1" applyFill="1" applyBorder="1" applyAlignment="1">
      <alignment horizontal="left" vertical="center" wrapText="1"/>
    </xf>
    <xf numFmtId="0" fontId="53" fillId="0" borderId="0" xfId="9" applyFont="1" applyAlignment="1">
      <alignment vertical="center"/>
    </xf>
    <xf numFmtId="0" fontId="30" fillId="31" borderId="51" xfId="9" applyFont="1" applyFill="1" applyBorder="1" applyAlignment="1">
      <alignment horizontal="left" vertical="center" wrapText="1"/>
    </xf>
    <xf numFmtId="0" fontId="54" fillId="0" borderId="0" xfId="9" applyFont="1" applyAlignment="1">
      <alignment horizontal="left" wrapText="1"/>
    </xf>
    <xf numFmtId="0" fontId="54" fillId="0" borderId="0" xfId="9" applyFont="1" applyAlignment="1">
      <alignment horizontal="center"/>
    </xf>
    <xf numFmtId="0" fontId="57" fillId="24" borderId="0" xfId="9" applyFont="1" applyFill="1"/>
    <xf numFmtId="0" fontId="56" fillId="0" borderId="0" xfId="9" applyFont="1"/>
    <xf numFmtId="0" fontId="55" fillId="30" borderId="2" xfId="9" applyFont="1" applyFill="1" applyBorder="1" applyAlignment="1">
      <alignment horizontal="left" wrapText="1"/>
    </xf>
    <xf numFmtId="0" fontId="55" fillId="30" borderId="45" xfId="9" applyFont="1" applyFill="1" applyBorder="1" applyAlignment="1">
      <alignment horizontal="left" wrapText="1"/>
    </xf>
    <xf numFmtId="0" fontId="55" fillId="30" borderId="46" xfId="9" applyFont="1" applyFill="1" applyBorder="1" applyAlignment="1">
      <alignment horizontal="left" wrapText="1"/>
    </xf>
    <xf numFmtId="0" fontId="55" fillId="30" borderId="32" xfId="9" applyFont="1" applyFill="1" applyBorder="1" applyAlignment="1">
      <alignment horizontal="left" wrapText="1"/>
    </xf>
    <xf numFmtId="0" fontId="55" fillId="30" borderId="43" xfId="9" applyFont="1" applyFill="1" applyBorder="1" applyAlignment="1">
      <alignment horizontal="left" wrapText="1"/>
    </xf>
    <xf numFmtId="0" fontId="57" fillId="0" borderId="0" xfId="9" applyFont="1" applyAlignment="1">
      <alignment horizontal="left" wrapText="1"/>
    </xf>
    <xf numFmtId="0" fontId="30" fillId="0" borderId="6" xfId="9" applyFont="1" applyBorder="1" applyAlignment="1">
      <alignment horizontal="left" vertical="center" wrapText="1"/>
    </xf>
    <xf numFmtId="0" fontId="53" fillId="0" borderId="0" xfId="9" applyFont="1" applyAlignment="1">
      <alignment wrapText="1"/>
    </xf>
    <xf numFmtId="0" fontId="55" fillId="30" borderId="51" xfId="9" applyFont="1" applyFill="1" applyBorder="1" applyAlignment="1">
      <alignment horizontal="left" wrapText="1"/>
    </xf>
    <xf numFmtId="0" fontId="54" fillId="0" borderId="13" xfId="9" applyFont="1" applyBorder="1" applyAlignment="1">
      <alignment wrapText="1"/>
    </xf>
    <xf numFmtId="0" fontId="60" fillId="0" borderId="0" xfId="9" applyFont="1" applyAlignment="1">
      <alignment wrapText="1"/>
    </xf>
    <xf numFmtId="0" fontId="54" fillId="0" borderId="0" xfId="9" applyFont="1" applyAlignment="1">
      <alignment horizontal="center" wrapText="1"/>
    </xf>
    <xf numFmtId="0" fontId="55" fillId="0" borderId="51" xfId="9" applyFont="1" applyBorder="1" applyAlignment="1">
      <alignment horizontal="left" wrapText="1"/>
    </xf>
    <xf numFmtId="0" fontId="53" fillId="0" borderId="51" xfId="9" applyFont="1" applyBorder="1" applyAlignment="1">
      <alignment vertical="center"/>
    </xf>
    <xf numFmtId="0" fontId="53" fillId="0" borderId="51" xfId="9" applyFont="1" applyBorder="1" applyAlignment="1">
      <alignment vertical="center" wrapText="1"/>
    </xf>
    <xf numFmtId="0" fontId="53" fillId="33" borderId="51" xfId="9" applyFont="1" applyFill="1" applyBorder="1" applyAlignment="1">
      <alignment vertical="center"/>
    </xf>
    <xf numFmtId="0" fontId="30" fillId="0" borderId="31" xfId="9" applyFont="1" applyBorder="1" applyAlignment="1">
      <alignment vertical="center" wrapText="1"/>
    </xf>
    <xf numFmtId="0" fontId="53" fillId="31" borderId="51" xfId="9" applyFont="1" applyFill="1" applyBorder="1" applyAlignment="1">
      <alignment vertical="center"/>
    </xf>
    <xf numFmtId="0" fontId="53" fillId="31" borderId="51" xfId="9" applyFont="1" applyFill="1" applyBorder="1" applyAlignment="1">
      <alignment vertical="center" wrapText="1"/>
    </xf>
    <xf numFmtId="0" fontId="30" fillId="31" borderId="31" xfId="9" applyFont="1" applyFill="1" applyBorder="1" applyAlignment="1">
      <alignment vertical="center" wrapText="1"/>
    </xf>
    <xf numFmtId="0" fontId="55" fillId="37" borderId="51" xfId="9" applyFont="1" applyFill="1" applyBorder="1" applyAlignment="1">
      <alignment horizontal="left" wrapText="1"/>
    </xf>
    <xf numFmtId="0" fontId="30" fillId="33" borderId="4" xfId="9" applyFont="1" applyFill="1" applyBorder="1" applyAlignment="1">
      <alignment vertical="center" wrapText="1"/>
    </xf>
    <xf numFmtId="0" fontId="30" fillId="0" borderId="3" xfId="9" applyFont="1" applyBorder="1" applyAlignment="1">
      <alignment vertical="center" wrapText="1"/>
    </xf>
    <xf numFmtId="0" fontId="30" fillId="33" borderId="51" xfId="9" applyFont="1" applyFill="1" applyBorder="1" applyAlignment="1">
      <alignment vertical="center" wrapText="1"/>
    </xf>
    <xf numFmtId="0" fontId="30" fillId="0" borderId="51" xfId="9" applyFont="1" applyBorder="1" applyAlignment="1">
      <alignment vertical="center" wrapText="1"/>
    </xf>
    <xf numFmtId="0" fontId="30" fillId="33" borderId="2" xfId="9" applyFont="1" applyFill="1" applyBorder="1" applyAlignment="1">
      <alignment vertical="center" wrapText="1"/>
    </xf>
    <xf numFmtId="0" fontId="30" fillId="33" borderId="33" xfId="9" applyFont="1" applyFill="1" applyBorder="1" applyAlignment="1">
      <alignment vertical="center" wrapText="1"/>
    </xf>
    <xf numFmtId="0" fontId="30" fillId="0" borderId="5" xfId="9" applyFont="1" applyBorder="1" applyAlignment="1">
      <alignment vertical="center" wrapText="1"/>
    </xf>
    <xf numFmtId="0" fontId="30" fillId="33" borderId="2" xfId="9" applyFont="1" applyFill="1" applyBorder="1" applyAlignment="1">
      <alignment horizontal="left" vertical="center" wrapText="1"/>
    </xf>
    <xf numFmtId="0" fontId="30" fillId="0" borderId="40" xfId="9" applyFont="1" applyBorder="1" applyAlignment="1">
      <alignment vertical="center" wrapText="1"/>
    </xf>
    <xf numFmtId="0" fontId="53" fillId="33" borderId="51" xfId="9" applyFont="1" applyFill="1" applyBorder="1" applyAlignment="1">
      <alignment horizontal="left" vertical="center" wrapText="1"/>
    </xf>
    <xf numFmtId="0" fontId="53" fillId="0" borderId="0" xfId="9" applyFont="1" applyAlignment="1">
      <alignment horizontal="left"/>
    </xf>
    <xf numFmtId="0" fontId="55" fillId="37" borderId="51" xfId="9" applyFont="1" applyFill="1" applyBorder="1" applyAlignment="1">
      <alignment wrapText="1"/>
    </xf>
    <xf numFmtId="0" fontId="53" fillId="33" borderId="51" xfId="9" applyFont="1" applyFill="1" applyBorder="1" applyAlignment="1">
      <alignment vertical="center" wrapText="1"/>
    </xf>
    <xf numFmtId="0" fontId="53" fillId="0" borderId="13" xfId="9" applyFont="1" applyBorder="1"/>
    <xf numFmtId="0" fontId="53" fillId="0" borderId="13" xfId="9" applyFont="1" applyBorder="1" applyAlignment="1">
      <alignment wrapText="1"/>
    </xf>
    <xf numFmtId="0" fontId="53" fillId="0" borderId="13" xfId="9" applyFont="1" applyBorder="1" applyAlignment="1">
      <alignment horizontal="center"/>
    </xf>
    <xf numFmtId="0" fontId="53" fillId="0" borderId="0" xfId="9" applyFont="1" applyAlignment="1">
      <alignment horizontal="center"/>
    </xf>
    <xf numFmtId="0" fontId="53" fillId="0" borderId="51" xfId="12" applyFont="1" applyBorder="1" applyAlignment="1">
      <alignment horizontal="left" vertical="center" wrapText="1"/>
    </xf>
    <xf numFmtId="0" fontId="58" fillId="25" borderId="0" xfId="9" applyFont="1" applyFill="1"/>
    <xf numFmtId="0" fontId="61" fillId="0" borderId="0" xfId="9" applyFont="1" applyAlignment="1">
      <alignment horizontal="left" wrapText="1"/>
    </xf>
    <xf numFmtId="0" fontId="60" fillId="0" borderId="0" xfId="9" applyFont="1" applyAlignment="1">
      <alignment horizontal="left" vertical="center" wrapText="1"/>
    </xf>
    <xf numFmtId="0" fontId="53" fillId="0" borderId="0" xfId="9" applyFont="1" applyAlignment="1">
      <alignment horizontal="left" vertical="center" wrapText="1"/>
    </xf>
    <xf numFmtId="0" fontId="30" fillId="0" borderId="34" xfId="9" applyFont="1" applyBorder="1" applyAlignment="1">
      <alignment vertical="center" wrapText="1"/>
    </xf>
    <xf numFmtId="0" fontId="30" fillId="0" borderId="38" xfId="9" applyFont="1" applyBorder="1" applyAlignment="1">
      <alignment vertical="center" wrapText="1"/>
    </xf>
    <xf numFmtId="0" fontId="60" fillId="0" borderId="0" xfId="9" applyFont="1" applyAlignment="1">
      <alignment vertical="center" wrapText="1"/>
    </xf>
    <xf numFmtId="0" fontId="60" fillId="0" borderId="0" xfId="9" applyFont="1" applyAlignment="1">
      <alignment horizontal="left" wrapText="1"/>
    </xf>
    <xf numFmtId="0" fontId="53" fillId="0" borderId="45" xfId="9" applyFont="1" applyBorder="1" applyAlignment="1">
      <alignment vertical="center"/>
    </xf>
    <xf numFmtId="0" fontId="53" fillId="0" borderId="45" xfId="9" applyFont="1" applyBorder="1" applyAlignment="1">
      <alignment vertical="center" wrapText="1"/>
    </xf>
    <xf numFmtId="0" fontId="53" fillId="0" borderId="0" xfId="9" applyFont="1" applyAlignment="1">
      <alignment horizontal="left" wrapText="1"/>
    </xf>
    <xf numFmtId="0" fontId="58" fillId="31" borderId="0" xfId="9" applyFont="1" applyFill="1"/>
    <xf numFmtId="0" fontId="53" fillId="0" borderId="45" xfId="9" applyFont="1" applyBorder="1" applyAlignment="1">
      <alignment horizontal="left" vertical="center"/>
    </xf>
    <xf numFmtId="0" fontId="53" fillId="0" borderId="45" xfId="9" applyFont="1" applyBorder="1" applyAlignment="1">
      <alignment horizontal="left" vertical="center" wrapText="1"/>
    </xf>
    <xf numFmtId="0" fontId="59" fillId="0" borderId="0" xfId="9" applyFont="1" applyAlignment="1">
      <alignment horizontal="left" vertical="center" wrapText="1"/>
    </xf>
    <xf numFmtId="0" fontId="53" fillId="0" borderId="12" xfId="9" applyFont="1" applyBorder="1" applyAlignment="1">
      <alignment horizontal="left" vertical="center" wrapText="1"/>
    </xf>
    <xf numFmtId="0" fontId="30" fillId="33" borderId="49" xfId="9" applyFont="1" applyFill="1" applyBorder="1" applyAlignment="1">
      <alignment horizontal="left" vertical="center" wrapText="1"/>
    </xf>
    <xf numFmtId="0" fontId="53" fillId="0" borderId="31" xfId="9" applyFont="1" applyBorder="1" applyAlignment="1">
      <alignment horizontal="left" vertical="center"/>
    </xf>
    <xf numFmtId="0" fontId="53" fillId="0" borderId="6" xfId="9" applyFont="1" applyBorder="1" applyAlignment="1">
      <alignment horizontal="left" vertical="center" wrapText="1"/>
    </xf>
    <xf numFmtId="0" fontId="53" fillId="33" borderId="3" xfId="9" applyFont="1" applyFill="1" applyBorder="1" applyAlignment="1">
      <alignment horizontal="left" vertical="center"/>
    </xf>
    <xf numFmtId="0" fontId="53" fillId="0" borderId="31" xfId="9" applyFont="1" applyBorder="1" applyAlignment="1">
      <alignment horizontal="left" vertical="center" wrapText="1"/>
    </xf>
    <xf numFmtId="0" fontId="59" fillId="0" borderId="0" xfId="9" applyFont="1" applyAlignment="1">
      <alignment horizontal="left" vertical="center"/>
    </xf>
    <xf numFmtId="0" fontId="53" fillId="0" borderId="0" xfId="9" applyFont="1" applyAlignment="1">
      <alignment horizontal="left" vertical="center"/>
    </xf>
    <xf numFmtId="0" fontId="55" fillId="37" borderId="45" xfId="9" applyFont="1" applyFill="1" applyBorder="1" applyAlignment="1">
      <alignment horizontal="left" wrapText="1"/>
    </xf>
    <xf numFmtId="0" fontId="53" fillId="33" borderId="4" xfId="9" applyFont="1" applyFill="1" applyBorder="1" applyAlignment="1">
      <alignment horizontal="left" vertical="center" wrapText="1"/>
    </xf>
    <xf numFmtId="0" fontId="30" fillId="33" borderId="31" xfId="9" applyFont="1" applyFill="1" applyBorder="1" applyAlignment="1">
      <alignment horizontal="left" vertical="center" wrapText="1"/>
    </xf>
    <xf numFmtId="0" fontId="53" fillId="0" borderId="5" xfId="9" applyFont="1" applyBorder="1" applyAlignment="1">
      <alignment horizontal="left" vertical="center" wrapText="1"/>
    </xf>
    <xf numFmtId="0" fontId="53" fillId="31" borderId="45" xfId="9" applyFont="1" applyFill="1" applyBorder="1" applyAlignment="1">
      <alignment horizontal="left" vertical="center"/>
    </xf>
    <xf numFmtId="0" fontId="53" fillId="31" borderId="45" xfId="9" applyFont="1" applyFill="1" applyBorder="1" applyAlignment="1">
      <alignment horizontal="left" vertical="center" wrapText="1"/>
    </xf>
    <xf numFmtId="0" fontId="30" fillId="0" borderId="44" xfId="9" applyFont="1" applyBorder="1" applyAlignment="1">
      <alignment horizontal="left" vertical="center" wrapText="1"/>
    </xf>
    <xf numFmtId="0" fontId="51" fillId="0" borderId="0" xfId="9" applyFont="1" applyAlignment="1">
      <alignment horizontal="left"/>
    </xf>
    <xf numFmtId="0" fontId="60" fillId="0" borderId="0" xfId="9" applyFont="1" applyAlignment="1">
      <alignment horizontal="left"/>
    </xf>
    <xf numFmtId="0" fontId="53" fillId="0" borderId="33" xfId="9" applyFont="1" applyBorder="1" applyAlignment="1">
      <alignment horizontal="left" vertical="center" wrapText="1"/>
    </xf>
    <xf numFmtId="0" fontId="58" fillId="24" borderId="0" xfId="9" applyFont="1" applyFill="1" applyAlignment="1">
      <alignment wrapText="1"/>
    </xf>
    <xf numFmtId="0" fontId="31" fillId="0" borderId="15" xfId="9" applyFont="1" applyBorder="1" applyAlignment="1">
      <alignment horizontal="left" vertical="center" wrapText="1" indent="1"/>
    </xf>
    <xf numFmtId="0" fontId="31" fillId="0" borderId="0" xfId="9" applyFont="1" applyAlignment="1">
      <alignment horizontal="left" vertical="center" wrapText="1" indent="1"/>
    </xf>
    <xf numFmtId="0" fontId="19" fillId="40" borderId="9" xfId="9" applyFont="1" applyFill="1" applyBorder="1" applyAlignment="1">
      <alignment horizontal="left" vertical="center" wrapText="1" indent="1"/>
    </xf>
    <xf numFmtId="0" fontId="19" fillId="40" borderId="0" xfId="9" applyFont="1" applyFill="1" applyAlignment="1">
      <alignment horizontal="left" vertical="center" wrapText="1" indent="1"/>
    </xf>
    <xf numFmtId="0" fontId="31" fillId="0" borderId="9" xfId="9" applyFont="1" applyBorder="1" applyAlignment="1">
      <alignment horizontal="left" vertical="center" wrapText="1" indent="1"/>
    </xf>
    <xf numFmtId="0" fontId="23" fillId="0" borderId="6" xfId="1" applyFont="1" applyBorder="1" applyAlignment="1">
      <alignment horizontal="left" vertical="center" wrapText="1" indent="1"/>
    </xf>
    <xf numFmtId="0" fontId="23" fillId="0" borderId="3" xfId="1" applyFont="1" applyBorder="1" applyAlignment="1">
      <alignment horizontal="left" vertical="center" wrapText="1" indent="1"/>
    </xf>
    <xf numFmtId="0" fontId="2" fillId="40" borderId="0" xfId="9" applyFill="1" applyAlignment="1">
      <alignment horizontal="center"/>
    </xf>
    <xf numFmtId="0" fontId="69" fillId="0" borderId="15" xfId="1" applyFont="1" applyBorder="1" applyAlignment="1">
      <alignment horizontal="left" vertical="center" wrapText="1" indent="1"/>
    </xf>
    <xf numFmtId="0" fontId="48" fillId="0" borderId="0" xfId="9" applyFont="1" applyAlignment="1">
      <alignment horizontal="left" vertical="center" wrapText="1" indent="1"/>
    </xf>
    <xf numFmtId="0" fontId="19" fillId="40" borderId="0" xfId="9" applyFont="1" applyFill="1" applyAlignment="1">
      <alignment horizontal="center" vertical="center" wrapText="1"/>
    </xf>
    <xf numFmtId="0" fontId="2" fillId="0" borderId="15" xfId="4" applyFont="1" applyBorder="1" applyAlignment="1">
      <alignment horizontal="left" vertical="top" wrapText="1" indent="1"/>
    </xf>
    <xf numFmtId="0" fontId="26" fillId="0" borderId="0" xfId="4" applyFont="1" applyAlignment="1">
      <alignment horizontal="left" vertical="top" wrapText="1" indent="1"/>
    </xf>
    <xf numFmtId="0" fontId="2" fillId="0" borderId="0" xfId="4" applyFont="1" applyAlignment="1">
      <alignment horizontal="left" vertical="top" wrapText="1"/>
    </xf>
    <xf numFmtId="0" fontId="2" fillId="0" borderId="0" xfId="4" applyFont="1" applyAlignment="1">
      <alignment vertical="top" wrapText="1"/>
    </xf>
    <xf numFmtId="0" fontId="2" fillId="0" borderId="16" xfId="4" applyFont="1" applyBorder="1" applyAlignment="1">
      <alignment vertical="top" wrapText="1"/>
    </xf>
    <xf numFmtId="0" fontId="26" fillId="0" borderId="0" xfId="4" applyFont="1" applyAlignment="1">
      <alignment horizontal="left" wrapText="1"/>
    </xf>
    <xf numFmtId="0" fontId="26" fillId="0" borderId="16" xfId="4" applyFont="1" applyBorder="1" applyAlignment="1">
      <alignment horizontal="left" wrapText="1"/>
    </xf>
    <xf numFmtId="0" fontId="24" fillId="40" borderId="12" xfId="4" applyFont="1" applyFill="1" applyBorder="1" applyAlignment="1">
      <alignment horizontal="left" vertical="center" wrapText="1" indent="1"/>
    </xf>
    <xf numFmtId="0" fontId="24" fillId="40" borderId="13" xfId="4" applyFont="1" applyFill="1" applyBorder="1" applyAlignment="1">
      <alignment horizontal="left" vertical="center" wrapText="1" indent="1"/>
    </xf>
    <xf numFmtId="0" fontId="24" fillId="40" borderId="14" xfId="4" applyFont="1" applyFill="1" applyBorder="1" applyAlignment="1">
      <alignment horizontal="left" vertical="center" wrapText="1" indent="1"/>
    </xf>
    <xf numFmtId="0" fontId="24" fillId="40" borderId="15" xfId="4" applyFont="1" applyFill="1" applyBorder="1" applyAlignment="1">
      <alignment horizontal="left" vertical="center" wrapText="1" indent="1"/>
    </xf>
    <xf numFmtId="0" fontId="24" fillId="40" borderId="0" xfId="4" applyFont="1" applyFill="1" applyAlignment="1">
      <alignment horizontal="left" vertical="center" wrapText="1" indent="1"/>
    </xf>
    <xf numFmtId="0" fontId="24" fillId="40" borderId="16" xfId="4" applyFont="1" applyFill="1" applyBorder="1" applyAlignment="1">
      <alignment horizontal="left" vertical="center" wrapText="1" indent="1"/>
    </xf>
    <xf numFmtId="0" fontId="2" fillId="0" borderId="16" xfId="4" applyFont="1" applyBorder="1" applyAlignment="1">
      <alignment horizontal="left" vertical="top" wrapText="1"/>
    </xf>
    <xf numFmtId="0" fontId="57" fillId="45" borderId="51" xfId="10" applyFont="1" applyFill="1" applyBorder="1" applyAlignment="1">
      <alignment horizontal="left" wrapText="1"/>
    </xf>
    <xf numFmtId="0" fontId="74" fillId="42" borderId="0" xfId="10" applyFont="1" applyFill="1" applyAlignment="1">
      <alignment horizontal="left" vertical="top" wrapText="1"/>
    </xf>
    <xf numFmtId="0" fontId="76" fillId="43" borderId="0" xfId="11" applyFont="1" applyFill="1" applyAlignment="1">
      <alignment horizontal="left" vertical="center"/>
    </xf>
    <xf numFmtId="0" fontId="57" fillId="44" borderId="0" xfId="10" applyFont="1" applyFill="1" applyAlignment="1">
      <alignment vertical="center" wrapText="1"/>
    </xf>
    <xf numFmtId="0" fontId="56" fillId="0" borderId="0" xfId="10" applyAlignment="1">
      <alignment vertical="center"/>
    </xf>
    <xf numFmtId="0" fontId="56" fillId="0" borderId="0" xfId="10" applyAlignment="1">
      <alignment vertical="center" wrapText="1"/>
    </xf>
    <xf numFmtId="0" fontId="57" fillId="44" borderId="0" xfId="10" applyFont="1" applyFill="1" applyAlignment="1">
      <alignment vertical="center"/>
    </xf>
    <xf numFmtId="0" fontId="56" fillId="0" borderId="0" xfId="10" applyAlignment="1">
      <alignment wrapText="1"/>
    </xf>
    <xf numFmtId="0" fontId="56" fillId="0" borderId="0" xfId="10"/>
    <xf numFmtId="0" fontId="58" fillId="30" borderId="0" xfId="9" applyFont="1" applyFill="1" applyAlignment="1">
      <alignment horizontal="center"/>
    </xf>
    <xf numFmtId="0" fontId="57" fillId="26" borderId="51" xfId="9" applyFont="1" applyFill="1" applyBorder="1" applyAlignment="1">
      <alignment horizontal="left" vertical="center" wrapText="1"/>
    </xf>
    <xf numFmtId="0" fontId="56" fillId="26" borderId="32" xfId="9" applyFont="1" applyFill="1" applyBorder="1" applyAlignment="1">
      <alignment horizontal="left" vertical="center" wrapText="1"/>
    </xf>
    <xf numFmtId="0" fontId="30" fillId="0" borderId="31" xfId="9" applyFont="1" applyBorder="1" applyAlignment="1">
      <alignment horizontal="left" vertical="center"/>
    </xf>
    <xf numFmtId="0" fontId="30" fillId="0" borderId="31" xfId="9" applyFont="1" applyBorder="1" applyAlignment="1">
      <alignment horizontal="left" vertical="center" wrapText="1"/>
    </xf>
    <xf numFmtId="0" fontId="58" fillId="24" borderId="0" xfId="9" applyFont="1" applyFill="1" applyAlignment="1">
      <alignment horizontal="center"/>
    </xf>
    <xf numFmtId="0" fontId="57" fillId="29" borderId="51" xfId="9" applyFont="1" applyFill="1" applyBorder="1" applyAlignment="1">
      <alignment horizontal="left" vertical="center" wrapText="1"/>
    </xf>
    <xf numFmtId="0" fontId="56" fillId="29" borderId="43" xfId="9" applyFont="1" applyFill="1" applyBorder="1" applyAlignment="1">
      <alignment horizontal="left" vertical="center" wrapText="1"/>
    </xf>
    <xf numFmtId="0" fontId="57" fillId="32" borderId="51" xfId="9" applyFont="1" applyFill="1" applyBorder="1" applyAlignment="1">
      <alignment horizontal="left" vertical="center" wrapText="1"/>
    </xf>
    <xf numFmtId="0" fontId="56" fillId="32" borderId="43" xfId="9" applyFont="1" applyFill="1" applyBorder="1" applyAlignment="1">
      <alignment vertical="center" wrapText="1"/>
    </xf>
    <xf numFmtId="0" fontId="30" fillId="0" borderId="45" xfId="9" applyFont="1" applyBorder="1" applyAlignment="1">
      <alignment horizontal="left" vertical="center" wrapText="1"/>
    </xf>
    <xf numFmtId="0" fontId="30" fillId="0" borderId="33" xfId="9" applyFont="1" applyBorder="1" applyAlignment="1">
      <alignment horizontal="left" vertical="center" wrapText="1"/>
    </xf>
    <xf numFmtId="0" fontId="57" fillId="34" borderId="51" xfId="9" applyFont="1" applyFill="1" applyBorder="1" applyAlignment="1">
      <alignment vertical="center" wrapText="1"/>
    </xf>
    <xf numFmtId="0" fontId="56" fillId="34" borderId="43" xfId="9" applyFont="1" applyFill="1" applyBorder="1" applyAlignment="1">
      <alignment vertical="center" wrapText="1"/>
    </xf>
    <xf numFmtId="0" fontId="57" fillId="35" borderId="51" xfId="9" applyFont="1" applyFill="1" applyBorder="1" applyAlignment="1">
      <alignment vertical="center" wrapText="1"/>
    </xf>
    <xf numFmtId="0" fontId="56" fillId="35" borderId="43" xfId="9" applyFont="1" applyFill="1" applyBorder="1" applyAlignment="1">
      <alignment vertical="center" wrapText="1"/>
    </xf>
    <xf numFmtId="0" fontId="57" fillId="36" borderId="33" xfId="9" applyFont="1" applyFill="1" applyBorder="1" applyAlignment="1">
      <alignment vertical="center" wrapText="1"/>
    </xf>
    <xf numFmtId="0" fontId="56" fillId="36" borderId="33" xfId="9" applyFont="1" applyFill="1" applyBorder="1" applyAlignment="1">
      <alignment vertical="center" wrapText="1"/>
    </xf>
    <xf numFmtId="0" fontId="30" fillId="0" borderId="47" xfId="9" applyFont="1" applyBorder="1" applyAlignment="1">
      <alignment horizontal="left" vertical="center" wrapText="1"/>
    </xf>
    <xf numFmtId="0" fontId="30" fillId="0" borderId="2" xfId="9" applyFont="1" applyBorder="1" applyAlignment="1">
      <alignment horizontal="left" vertical="center" wrapText="1"/>
    </xf>
    <xf numFmtId="0" fontId="53" fillId="0" borderId="45" xfId="9" applyFont="1" applyBorder="1" applyAlignment="1">
      <alignment horizontal="left" vertical="center" wrapText="1"/>
    </xf>
    <xf numFmtId="0" fontId="53" fillId="0" borderId="33" xfId="9" applyFont="1" applyBorder="1" applyAlignment="1">
      <alignment horizontal="left" vertical="center" wrapText="1"/>
    </xf>
    <xf numFmtId="0" fontId="57" fillId="29" borderId="4" xfId="9" applyFont="1" applyFill="1" applyBorder="1" applyAlignment="1">
      <alignment vertical="center" wrapText="1"/>
    </xf>
    <xf numFmtId="0" fontId="57" fillId="29" borderId="37" xfId="9" applyFont="1" applyFill="1" applyBorder="1" applyAlignment="1">
      <alignment vertical="center" wrapText="1"/>
    </xf>
    <xf numFmtId="0" fontId="57" fillId="29" borderId="5" xfId="9" applyFont="1" applyFill="1" applyBorder="1" applyAlignment="1">
      <alignment vertical="center" wrapText="1"/>
    </xf>
    <xf numFmtId="0" fontId="56" fillId="29" borderId="52" xfId="9" applyFont="1" applyFill="1" applyBorder="1" applyAlignment="1">
      <alignment vertical="center" wrapText="1"/>
    </xf>
    <xf numFmtId="0" fontId="56" fillId="29" borderId="13" xfId="9" applyFont="1" applyFill="1" applyBorder="1" applyAlignment="1">
      <alignment vertical="center" wrapText="1"/>
    </xf>
    <xf numFmtId="0" fontId="56" fillId="29" borderId="53" xfId="9" applyFont="1" applyFill="1" applyBorder="1" applyAlignment="1">
      <alignment vertical="center" wrapText="1"/>
    </xf>
    <xf numFmtId="0" fontId="30" fillId="0" borderId="54" xfId="9" applyFont="1" applyBorder="1" applyAlignment="1">
      <alignment horizontal="left" vertical="center" wrapText="1"/>
    </xf>
    <xf numFmtId="0" fontId="30" fillId="0" borderId="55" xfId="9" applyFont="1" applyBorder="1" applyAlignment="1">
      <alignment horizontal="left" vertical="center" wrapText="1"/>
    </xf>
    <xf numFmtId="0" fontId="30" fillId="0" borderId="56" xfId="9" applyFont="1" applyBorder="1" applyAlignment="1">
      <alignment horizontal="left" vertical="center" wrapText="1"/>
    </xf>
    <xf numFmtId="0" fontId="53" fillId="0" borderId="36" xfId="9" applyFont="1" applyBorder="1" applyAlignment="1">
      <alignment horizontal="left" vertical="center" wrapText="1"/>
    </xf>
    <xf numFmtId="0" fontId="53" fillId="0" borderId="45" xfId="9" applyFont="1" applyBorder="1" applyAlignment="1">
      <alignment horizontal="left" vertical="center"/>
    </xf>
    <xf numFmtId="0" fontId="53" fillId="0" borderId="33" xfId="9" applyFont="1" applyBorder="1" applyAlignment="1">
      <alignment horizontal="left" vertical="center"/>
    </xf>
    <xf numFmtId="0" fontId="57" fillId="32" borderId="6" xfId="9" applyFont="1" applyFill="1" applyBorder="1" applyAlignment="1">
      <alignment vertical="center" wrapText="1"/>
    </xf>
    <xf numFmtId="0" fontId="57" fillId="32" borderId="39" xfId="9" applyFont="1" applyFill="1" applyBorder="1" applyAlignment="1">
      <alignment vertical="center" wrapText="1"/>
    </xf>
    <xf numFmtId="0" fontId="57" fillId="32" borderId="3" xfId="9" applyFont="1" applyFill="1" applyBorder="1" applyAlignment="1">
      <alignment vertical="center" wrapText="1"/>
    </xf>
    <xf numFmtId="0" fontId="56" fillId="32" borderId="7" xfId="9" applyFont="1" applyFill="1" applyBorder="1" applyAlignment="1">
      <alignment vertical="center" wrapText="1"/>
    </xf>
    <xf numFmtId="0" fontId="56" fillId="32" borderId="57" xfId="9" applyFont="1" applyFill="1" applyBorder="1" applyAlignment="1">
      <alignment vertical="center" wrapText="1"/>
    </xf>
    <xf numFmtId="0" fontId="56" fillId="32" borderId="8" xfId="9" applyFont="1" applyFill="1" applyBorder="1" applyAlignment="1">
      <alignment vertical="center" wrapText="1"/>
    </xf>
    <xf numFmtId="0" fontId="53" fillId="31" borderId="45" xfId="9" applyFont="1" applyFill="1" applyBorder="1" applyAlignment="1">
      <alignment horizontal="left" vertical="center"/>
    </xf>
    <xf numFmtId="0" fontId="53" fillId="31" borderId="33" xfId="9" applyFont="1" applyFill="1" applyBorder="1" applyAlignment="1">
      <alignment horizontal="left" vertical="center"/>
    </xf>
    <xf numFmtId="0" fontId="53" fillId="31" borderId="45" xfId="9" applyFont="1" applyFill="1" applyBorder="1" applyAlignment="1">
      <alignment horizontal="left" vertical="center" wrapText="1"/>
    </xf>
    <xf numFmtId="0" fontId="53" fillId="31" borderId="33" xfId="9" applyFont="1" applyFill="1" applyBorder="1" applyAlignment="1">
      <alignment horizontal="left" vertical="center" wrapText="1"/>
    </xf>
    <xf numFmtId="0" fontId="57" fillId="34" borderId="30" xfId="9" applyFont="1" applyFill="1" applyBorder="1" applyAlignment="1">
      <alignment horizontal="left" vertical="center" wrapText="1"/>
    </xf>
    <xf numFmtId="0" fontId="56" fillId="34" borderId="30" xfId="9" applyFont="1" applyFill="1" applyBorder="1" applyAlignment="1">
      <alignment horizontal="left" vertical="center" wrapText="1"/>
    </xf>
    <xf numFmtId="0" fontId="57" fillId="37" borderId="30" xfId="9" applyFont="1" applyFill="1" applyBorder="1" applyAlignment="1">
      <alignment horizontal="center" vertical="center" wrapText="1"/>
    </xf>
    <xf numFmtId="0" fontId="57" fillId="35" borderId="30" xfId="9" applyFont="1" applyFill="1" applyBorder="1" applyAlignment="1">
      <alignment vertical="center" wrapText="1"/>
    </xf>
    <xf numFmtId="0" fontId="56" fillId="35" borderId="30" xfId="9" applyFont="1" applyFill="1" applyBorder="1" applyAlignment="1">
      <alignment vertical="center" wrapText="1"/>
    </xf>
    <xf numFmtId="0" fontId="53" fillId="0" borderId="42" xfId="9" applyFont="1" applyBorder="1" applyAlignment="1">
      <alignment vertical="center"/>
    </xf>
    <xf numFmtId="0" fontId="53" fillId="0" borderId="41" xfId="9" applyFont="1" applyBorder="1" applyAlignment="1">
      <alignment vertical="center"/>
    </xf>
    <xf numFmtId="0" fontId="53" fillId="0" borderId="45" xfId="9" applyFont="1" applyBorder="1" applyAlignment="1">
      <alignment vertical="center" wrapText="1"/>
    </xf>
    <xf numFmtId="0" fontId="53" fillId="0" borderId="59" xfId="9" applyFont="1" applyBorder="1" applyAlignment="1">
      <alignment vertical="center" wrapText="1"/>
    </xf>
    <xf numFmtId="0" fontId="30" fillId="0" borderId="58" xfId="9" applyFont="1" applyBorder="1" applyAlignment="1">
      <alignment vertical="center" wrapText="1"/>
    </xf>
    <xf numFmtId="0" fontId="30" fillId="0" borderId="48" xfId="9" applyFont="1" applyBorder="1" applyAlignment="1">
      <alignment vertical="center" wrapText="1"/>
    </xf>
    <xf numFmtId="0" fontId="57" fillId="36" borderId="51" xfId="9" applyFont="1" applyFill="1" applyBorder="1" applyAlignment="1">
      <alignment vertical="center" wrapText="1"/>
    </xf>
    <xf numFmtId="0" fontId="56" fillId="36" borderId="43" xfId="9" applyFont="1" applyFill="1" applyBorder="1" applyAlignment="1">
      <alignment vertical="center" wrapText="1"/>
    </xf>
    <xf numFmtId="0" fontId="53" fillId="31" borderId="45" xfId="9" applyFont="1" applyFill="1" applyBorder="1" applyAlignment="1">
      <alignment vertical="center"/>
    </xf>
    <xf numFmtId="0" fontId="53" fillId="31" borderId="33" xfId="9" applyFont="1" applyFill="1" applyBorder="1" applyAlignment="1">
      <alignment vertical="center"/>
    </xf>
    <xf numFmtId="0" fontId="53" fillId="31" borderId="45" xfId="9" applyFont="1" applyFill="1" applyBorder="1" applyAlignment="1">
      <alignment vertical="center" wrapText="1"/>
    </xf>
    <xf numFmtId="0" fontId="53" fillId="31" borderId="33" xfId="9" applyFont="1" applyFill="1" applyBorder="1" applyAlignment="1">
      <alignment vertical="center" wrapText="1"/>
    </xf>
    <xf numFmtId="0" fontId="30" fillId="31" borderId="58" xfId="9" applyFont="1" applyFill="1" applyBorder="1" applyAlignment="1">
      <alignment vertical="center" wrapText="1"/>
    </xf>
    <xf numFmtId="0" fontId="30" fillId="31" borderId="48" xfId="9" applyFont="1" applyFill="1" applyBorder="1" applyAlignment="1">
      <alignment vertical="center" wrapText="1"/>
    </xf>
    <xf numFmtId="0" fontId="53" fillId="0" borderId="45" xfId="9" applyFont="1" applyBorder="1" applyAlignment="1">
      <alignment vertical="center"/>
    </xf>
    <xf numFmtId="0" fontId="53" fillId="0" borderId="33" xfId="9" applyFont="1" applyBorder="1" applyAlignment="1">
      <alignment vertical="center"/>
    </xf>
    <xf numFmtId="0" fontId="30" fillId="0" borderId="60" xfId="9" applyFont="1" applyBorder="1" applyAlignment="1">
      <alignment vertical="center" wrapText="1"/>
    </xf>
    <xf numFmtId="0" fontId="30" fillId="0" borderId="61" xfId="9" applyFont="1" applyBorder="1" applyAlignment="1">
      <alignment vertical="center" wrapText="1"/>
    </xf>
    <xf numFmtId="0" fontId="53" fillId="0" borderId="33" xfId="9" applyFont="1" applyBorder="1" applyAlignment="1">
      <alignment vertical="center" wrapText="1"/>
    </xf>
    <xf numFmtId="0" fontId="30" fillId="0" borderId="50" xfId="9" applyFont="1" applyBorder="1" applyAlignment="1">
      <alignment vertical="center" wrapText="1"/>
    </xf>
    <xf numFmtId="0" fontId="57" fillId="38" borderId="30" xfId="9" applyFont="1" applyFill="1" applyBorder="1" applyAlignment="1">
      <alignment vertical="center" wrapText="1"/>
    </xf>
    <xf numFmtId="0" fontId="56" fillId="38" borderId="30" xfId="9" applyFont="1" applyFill="1" applyBorder="1" applyAlignment="1">
      <alignment vertical="center" wrapText="1"/>
    </xf>
    <xf numFmtId="0" fontId="30" fillId="0" borderId="45" xfId="9" applyFont="1" applyBorder="1" applyAlignment="1">
      <alignment vertical="center" wrapText="1"/>
    </xf>
    <xf numFmtId="0" fontId="30" fillId="0" borderId="59" xfId="9" applyFont="1" applyBorder="1" applyAlignment="1">
      <alignment vertical="center" wrapText="1"/>
    </xf>
    <xf numFmtId="0" fontId="57" fillId="32" borderId="30" xfId="9" applyFont="1" applyFill="1" applyBorder="1" applyAlignment="1">
      <alignment vertical="center" wrapText="1"/>
    </xf>
    <xf numFmtId="0" fontId="56" fillId="32" borderId="30" xfId="9" applyFont="1" applyFill="1" applyBorder="1" applyAlignment="1">
      <alignment vertical="center" wrapText="1"/>
    </xf>
    <xf numFmtId="0" fontId="57" fillId="34" borderId="30" xfId="9" applyFont="1" applyFill="1" applyBorder="1" applyAlignment="1">
      <alignment vertical="center" wrapText="1"/>
    </xf>
    <xf numFmtId="0" fontId="56" fillId="34" borderId="7" xfId="9" applyFont="1" applyFill="1" applyBorder="1" applyAlignment="1">
      <alignment vertical="center" wrapText="1"/>
    </xf>
    <xf numFmtId="0" fontId="56" fillId="34" borderId="57" xfId="9" applyFont="1" applyFill="1" applyBorder="1" applyAlignment="1">
      <alignment vertical="center" wrapText="1"/>
    </xf>
    <xf numFmtId="0" fontId="56" fillId="34" borderId="8" xfId="9" applyFont="1" applyFill="1" applyBorder="1" applyAlignment="1">
      <alignment vertical="center" wrapText="1"/>
    </xf>
    <xf numFmtId="0" fontId="57" fillId="35" borderId="30" xfId="9" applyFont="1" applyFill="1" applyBorder="1" applyAlignment="1">
      <alignment horizontal="left" vertical="center" wrapText="1"/>
    </xf>
    <xf numFmtId="0" fontId="56" fillId="35" borderId="30" xfId="9" applyFont="1" applyFill="1" applyBorder="1" applyAlignment="1">
      <alignment horizontal="left" vertical="center" wrapText="1"/>
    </xf>
    <xf numFmtId="0" fontId="30" fillId="0" borderId="63" xfId="9" applyFont="1" applyBorder="1" applyAlignment="1">
      <alignment vertical="center" wrapText="1"/>
    </xf>
    <xf numFmtId="0" fontId="58" fillId="25" borderId="0" xfId="9" applyFont="1" applyFill="1" applyAlignment="1">
      <alignment horizontal="center"/>
    </xf>
    <xf numFmtId="0" fontId="57" fillId="28" borderId="6" xfId="9" applyFont="1" applyFill="1" applyBorder="1" applyAlignment="1">
      <alignment horizontal="left" vertical="center" wrapText="1"/>
    </xf>
    <xf numFmtId="0" fontId="57" fillId="28" borderId="39" xfId="9" applyFont="1" applyFill="1" applyBorder="1" applyAlignment="1">
      <alignment horizontal="left" vertical="center" wrapText="1"/>
    </xf>
    <xf numFmtId="0" fontId="57" fillId="28" borderId="3" xfId="9" applyFont="1" applyFill="1" applyBorder="1" applyAlignment="1">
      <alignment horizontal="left" vertical="center" wrapText="1"/>
    </xf>
    <xf numFmtId="0" fontId="56" fillId="28" borderId="30" xfId="9" applyFont="1" applyFill="1" applyBorder="1" applyAlignment="1">
      <alignment horizontal="left" vertical="center" wrapText="1"/>
    </xf>
    <xf numFmtId="0" fontId="53" fillId="0" borderId="36" xfId="9" applyFont="1" applyBorder="1" applyAlignment="1">
      <alignment vertical="center"/>
    </xf>
    <xf numFmtId="0" fontId="53" fillId="0" borderId="36" xfId="9" applyFont="1" applyBorder="1" applyAlignment="1">
      <alignment vertical="center" wrapText="1"/>
    </xf>
    <xf numFmtId="0" fontId="53" fillId="0" borderId="62" xfId="9" applyFont="1" applyBorder="1" applyAlignment="1">
      <alignment vertical="center" wrapText="1"/>
    </xf>
    <xf numFmtId="0" fontId="57" fillId="26" borderId="64" xfId="9" applyFont="1" applyFill="1" applyBorder="1" applyAlignment="1">
      <alignment horizontal="left" vertical="center" wrapText="1"/>
    </xf>
    <xf numFmtId="0" fontId="57" fillId="26" borderId="35" xfId="9" applyFont="1" applyFill="1" applyBorder="1" applyAlignment="1">
      <alignment horizontal="left" vertical="center" wrapText="1"/>
    </xf>
    <xf numFmtId="0" fontId="57" fillId="26" borderId="65" xfId="9" applyFont="1" applyFill="1" applyBorder="1" applyAlignment="1">
      <alignment horizontal="left" vertical="center" wrapText="1"/>
    </xf>
    <xf numFmtId="0" fontId="56" fillId="26" borderId="64" xfId="9" applyFont="1" applyFill="1" applyBorder="1" applyAlignment="1">
      <alignment horizontal="left" vertical="center" wrapText="1"/>
    </xf>
    <xf numFmtId="0" fontId="56" fillId="26" borderId="35" xfId="9" applyFont="1" applyFill="1" applyBorder="1" applyAlignment="1">
      <alignment horizontal="left" vertical="center" wrapText="1"/>
    </xf>
    <xf numFmtId="0" fontId="56" fillId="26" borderId="65" xfId="9" applyFont="1" applyFill="1" applyBorder="1" applyAlignment="1">
      <alignment horizontal="left" vertical="center" wrapText="1"/>
    </xf>
    <xf numFmtId="0" fontId="58" fillId="37" borderId="0" xfId="9" applyFont="1" applyFill="1" applyAlignment="1">
      <alignment horizontal="center"/>
    </xf>
    <xf numFmtId="0" fontId="57" fillId="27" borderId="6" xfId="9" applyFont="1" applyFill="1" applyBorder="1" applyAlignment="1">
      <alignment horizontal="left" vertical="center" wrapText="1"/>
    </xf>
    <xf numFmtId="0" fontId="57" fillId="27" borderId="39" xfId="9" applyFont="1" applyFill="1" applyBorder="1" applyAlignment="1">
      <alignment horizontal="left" vertical="center" wrapText="1"/>
    </xf>
    <xf numFmtId="0" fontId="57" fillId="27" borderId="3" xfId="9" applyFont="1" applyFill="1" applyBorder="1" applyAlignment="1">
      <alignment horizontal="left" vertical="center" wrapText="1"/>
    </xf>
    <xf numFmtId="0" fontId="56" fillId="27" borderId="7" xfId="9" applyFont="1" applyFill="1" applyBorder="1" applyAlignment="1">
      <alignment horizontal="left" vertical="center" wrapText="1"/>
    </xf>
    <xf numFmtId="0" fontId="56" fillId="27" borderId="57" xfId="9" applyFont="1" applyFill="1" applyBorder="1" applyAlignment="1">
      <alignment horizontal="left" vertical="center" wrapText="1"/>
    </xf>
    <xf numFmtId="0" fontId="56" fillId="27" borderId="8" xfId="9" applyFont="1" applyFill="1" applyBorder="1" applyAlignment="1">
      <alignment horizontal="left" vertical="center" wrapText="1"/>
    </xf>
    <xf numFmtId="0" fontId="57" fillId="24" borderId="30" xfId="9" applyFont="1" applyFill="1" applyBorder="1" applyAlignment="1">
      <alignment horizontal="left" vertical="center" wrapText="1"/>
    </xf>
    <xf numFmtId="0" fontId="56" fillId="24" borderId="7" xfId="9" applyFont="1" applyFill="1" applyBorder="1" applyAlignment="1">
      <alignment horizontal="left" vertical="center" wrapText="1"/>
    </xf>
    <xf numFmtId="0" fontId="56" fillId="24" borderId="57" xfId="9" applyFont="1" applyFill="1" applyBorder="1" applyAlignment="1">
      <alignment horizontal="left" vertical="center" wrapText="1"/>
    </xf>
    <xf numFmtId="0" fontId="56" fillId="24" borderId="8" xfId="9" applyFont="1" applyFill="1" applyBorder="1" applyAlignment="1">
      <alignment horizontal="left" vertical="center" wrapText="1"/>
    </xf>
    <xf numFmtId="0" fontId="57" fillId="39" borderId="30" xfId="9" applyFont="1" applyFill="1" applyBorder="1" applyAlignment="1">
      <alignment horizontal="left" vertical="center" wrapText="1"/>
    </xf>
    <xf numFmtId="0" fontId="56" fillId="39" borderId="30" xfId="9" applyFont="1" applyFill="1" applyBorder="1" applyAlignment="1">
      <alignment horizontal="left" vertical="center" wrapText="1"/>
    </xf>
    <xf numFmtId="0" fontId="58" fillId="24" borderId="41" xfId="9" applyFont="1" applyFill="1" applyBorder="1" applyAlignment="1">
      <alignment horizontal="center"/>
    </xf>
    <xf numFmtId="0" fontId="57" fillId="36" borderId="30" xfId="9" applyFont="1" applyFill="1" applyBorder="1" applyAlignment="1">
      <alignment horizontal="left" vertical="center" wrapText="1"/>
    </xf>
    <xf numFmtId="0" fontId="56" fillId="36" borderId="30" xfId="9" applyFont="1" applyFill="1" applyBorder="1" applyAlignment="1">
      <alignment horizontal="left" vertical="center" wrapText="1"/>
    </xf>
    <xf numFmtId="0" fontId="57" fillId="38" borderId="6" xfId="9" applyFont="1" applyFill="1" applyBorder="1" applyAlignment="1">
      <alignment horizontal="left" vertical="center" wrapText="1"/>
    </xf>
    <xf numFmtId="0" fontId="57" fillId="38" borderId="39" xfId="9" applyFont="1" applyFill="1" applyBorder="1" applyAlignment="1">
      <alignment horizontal="left" vertical="center" wrapText="1"/>
    </xf>
    <xf numFmtId="0" fontId="57" fillId="38" borderId="3" xfId="9" applyFont="1" applyFill="1" applyBorder="1" applyAlignment="1">
      <alignment horizontal="left" vertical="center" wrapText="1"/>
    </xf>
    <xf numFmtId="0" fontId="56" fillId="38" borderId="30" xfId="9" applyFont="1" applyFill="1" applyBorder="1" applyAlignment="1">
      <alignment horizontal="left" vertical="center" wrapText="1"/>
    </xf>
    <xf numFmtId="0" fontId="57" fillId="29" borderId="30" xfId="9" applyFont="1" applyFill="1" applyBorder="1" applyAlignment="1">
      <alignment horizontal="left" vertical="center" wrapText="1"/>
    </xf>
    <xf numFmtId="0" fontId="56" fillId="29" borderId="30" xfId="9" applyFont="1" applyFill="1" applyBorder="1" applyAlignment="1">
      <alignment horizontal="left" vertical="center" wrapText="1"/>
    </xf>
    <xf numFmtId="0" fontId="57" fillId="32" borderId="6" xfId="9" applyFont="1" applyFill="1" applyBorder="1" applyAlignment="1">
      <alignment horizontal="left" vertical="center" wrapText="1"/>
    </xf>
    <xf numFmtId="0" fontId="57" fillId="32" borderId="39" xfId="9" applyFont="1" applyFill="1" applyBorder="1" applyAlignment="1">
      <alignment horizontal="left" vertical="center" wrapText="1"/>
    </xf>
    <xf numFmtId="0" fontId="57" fillId="32" borderId="3" xfId="9" applyFont="1" applyFill="1" applyBorder="1" applyAlignment="1">
      <alignment horizontal="left" vertical="center" wrapText="1"/>
    </xf>
    <xf numFmtId="0" fontId="56" fillId="32" borderId="30" xfId="9" applyFont="1" applyFill="1" applyBorder="1" applyAlignment="1">
      <alignment horizontal="left" vertical="center" wrapText="1"/>
    </xf>
    <xf numFmtId="0" fontId="53" fillId="0" borderId="51" xfId="9" applyFont="1" applyBorder="1" applyAlignment="1">
      <alignment horizontal="left" vertical="center"/>
    </xf>
    <xf numFmtId="0" fontId="53" fillId="0" borderId="51" xfId="9" applyFont="1" applyBorder="1" applyAlignment="1">
      <alignment horizontal="left" vertical="center" wrapText="1"/>
    </xf>
    <xf numFmtId="0" fontId="30" fillId="0" borderId="51" xfId="9" applyFont="1" applyBorder="1" applyAlignment="1">
      <alignment horizontal="left" vertical="center" wrapText="1"/>
    </xf>
    <xf numFmtId="0" fontId="53" fillId="31" borderId="59" xfId="9" applyFont="1" applyFill="1" applyBorder="1" applyAlignment="1">
      <alignment horizontal="left" vertical="center" wrapText="1"/>
    </xf>
    <xf numFmtId="0" fontId="53" fillId="0" borderId="36" xfId="9" applyFont="1" applyBorder="1" applyAlignment="1">
      <alignment horizontal="left" vertical="center"/>
    </xf>
    <xf numFmtId="0" fontId="53" fillId="0" borderId="59" xfId="9" applyFont="1" applyBorder="1" applyAlignment="1">
      <alignment horizontal="left" vertical="center" wrapText="1"/>
    </xf>
    <xf numFmtId="0" fontId="57" fillId="36" borderId="51" xfId="9" applyFont="1" applyFill="1" applyBorder="1" applyAlignment="1">
      <alignment horizontal="left" vertical="center" wrapText="1"/>
    </xf>
    <xf numFmtId="0" fontId="56" fillId="36" borderId="51" xfId="9" applyFont="1" applyFill="1" applyBorder="1" applyAlignment="1">
      <alignment horizontal="left" vertical="center" wrapText="1"/>
    </xf>
    <xf numFmtId="0" fontId="53" fillId="0" borderId="49" xfId="9" applyFont="1" applyBorder="1" applyAlignment="1">
      <alignment horizontal="left" vertical="center"/>
    </xf>
    <xf numFmtId="0" fontId="53" fillId="0" borderId="38" xfId="9" applyFont="1" applyBorder="1" applyAlignment="1">
      <alignment horizontal="left" vertical="center"/>
    </xf>
    <xf numFmtId="0" fontId="53" fillId="0" borderId="34" xfId="9" applyFont="1" applyBorder="1" applyAlignment="1">
      <alignment horizontal="left" vertical="center"/>
    </xf>
    <xf numFmtId="0" fontId="30" fillId="0" borderId="36" xfId="9" applyFont="1" applyBorder="1" applyAlignment="1">
      <alignment horizontal="left" vertical="center" wrapText="1"/>
    </xf>
    <xf numFmtId="0" fontId="56" fillId="26" borderId="51" xfId="9" applyFont="1" applyFill="1" applyBorder="1" applyAlignment="1">
      <alignment horizontal="left" vertical="center" wrapText="1"/>
    </xf>
    <xf numFmtId="0" fontId="58" fillId="24" borderId="0" xfId="9" applyFont="1" applyFill="1" applyAlignment="1">
      <alignment horizontal="center" wrapText="1"/>
    </xf>
    <xf numFmtId="0" fontId="56" fillId="29" borderId="51" xfId="9" applyFont="1" applyFill="1" applyBorder="1" applyAlignment="1">
      <alignment horizontal="left" vertical="center" wrapText="1"/>
    </xf>
    <xf numFmtId="0" fontId="56" fillId="32" borderId="51" xfId="9" applyFont="1" applyFill="1" applyBorder="1" applyAlignment="1">
      <alignment horizontal="left" vertical="center" wrapText="1"/>
    </xf>
    <xf numFmtId="0" fontId="57" fillId="34" borderId="51" xfId="9" applyFont="1" applyFill="1" applyBorder="1" applyAlignment="1">
      <alignment horizontal="left" vertical="center" wrapText="1"/>
    </xf>
    <xf numFmtId="0" fontId="56" fillId="34" borderId="51" xfId="9" applyFont="1" applyFill="1" applyBorder="1" applyAlignment="1">
      <alignment horizontal="left" vertical="center" wrapText="1"/>
    </xf>
    <xf numFmtId="0" fontId="53" fillId="0" borderId="51" xfId="9" applyFont="1" applyBorder="1" applyAlignment="1">
      <alignment vertical="center" wrapText="1"/>
    </xf>
  </cellXfs>
  <cellStyles count="13">
    <cellStyle name="Hyperlink" xfId="1" builtinId="8"/>
    <cellStyle name="Hyperlink 2" xfId="3" xr:uid="{09165538-0C87-47A8-A1D2-E8E404908488}"/>
    <cellStyle name="Hyperlink 3" xfId="11" xr:uid="{DF0E75BD-894F-4D82-80F2-E1DC81EC2D4A}"/>
    <cellStyle name="Normal" xfId="0" builtinId="0"/>
    <cellStyle name="Normal 2" xfId="2" xr:uid="{135B7FA6-1247-4E87-BA2E-447BD166D095}"/>
    <cellStyle name="Normal 2 2" xfId="8" xr:uid="{0119FA7F-7A5B-4BB0-9AE6-D4CF873E0F1D}"/>
    <cellStyle name="Normal 2 2 2" xfId="9" xr:uid="{734B5BDE-7630-4043-99ED-12988C67E7D3}"/>
    <cellStyle name="Normal 3" xfId="4" xr:uid="{547F677A-785E-4844-851E-B1D5D5EA6EC0}"/>
    <cellStyle name="Normal 4" xfId="5" xr:uid="{09DD3285-02FD-4D2E-9FF2-A7C80E71199D}"/>
    <cellStyle name="Normal 5" xfId="6" xr:uid="{CB3BE3D9-3A06-41BF-B244-A6C64DB185F2}"/>
    <cellStyle name="Normal 6" xfId="7" xr:uid="{75B5B92D-7A9C-4B14-90BD-47D234BDA229}"/>
    <cellStyle name="Normal 7" xfId="10" xr:uid="{960974E9-AC71-4012-A52C-CED856F0294B}"/>
    <cellStyle name="Normal 8" xfId="12" xr:uid="{17B35893-9D11-48EB-B20E-422F35774FD6}"/>
  </cellStyles>
  <dxfs count="4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2"/>
        <color theme="1"/>
        <name val="Arial"/>
        <scheme val="none"/>
      </font>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Arial"/>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7B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s>
</file>

<file path=xl/ctrlProps/ctrlProp1.xml><?xml version="1.0" encoding="utf-8"?>
<formControlPr xmlns="http://schemas.microsoft.com/office/spreadsheetml/2009/9/main" objectType="CheckBox" fmlaLink="$C$3" lockText="1" noThreeD="1"/>
</file>

<file path=xl/ctrlProps/ctrlProp2.xml><?xml version="1.0" encoding="utf-8"?>
<formControlPr xmlns="http://schemas.microsoft.com/office/spreadsheetml/2009/9/main" objectType="CheckBox" fmlaLink="C4" lockText="1" noThreeD="1"/>
</file>

<file path=xl/ctrlProps/ctrlProp3.xml><?xml version="1.0" encoding="utf-8"?>
<formControlPr xmlns="http://schemas.microsoft.com/office/spreadsheetml/2009/9/main" objectType="CheckBox" fmlaLink="C5" lockText="1" noThreeD="1"/>
</file>

<file path=xl/ctrlProps/ctrlProp4.xml><?xml version="1.0" encoding="utf-8"?>
<formControlPr xmlns="http://schemas.microsoft.com/office/spreadsheetml/2009/9/main" objectType="CheckBox" fmlaLink="C6" lockText="1" noThreeD="1"/>
</file>

<file path=xl/ctrlProps/ctrlProp5.xml><?xml version="1.0" encoding="utf-8"?>
<formControlPr xmlns="http://schemas.microsoft.com/office/spreadsheetml/2009/9/main" objectType="CheckBox" fmlaLink="C7" lockText="1" noThreeD="1"/>
</file>

<file path=xl/ctrlProps/ctrlProp6.xml><?xml version="1.0" encoding="utf-8"?>
<formControlPr xmlns="http://schemas.microsoft.com/office/spreadsheetml/2009/9/main" objectType="CheckBox" fmlaLink="C8" lockText="1" noThreeD="1"/>
</file>

<file path=xl/ctrlProps/ctrlProp7.xml><?xml version="1.0" encoding="utf-8"?>
<formControlPr xmlns="http://schemas.microsoft.com/office/spreadsheetml/2009/9/main" objectType="CheckBox" fmlaLink="C13" lockText="1" noThreeD="1"/>
</file>

<file path=xl/ctrlProps/ctrlProp8.xml><?xml version="1.0" encoding="utf-8"?>
<formControlPr xmlns="http://schemas.microsoft.com/office/spreadsheetml/2009/9/main" objectType="CheckBox" fmlaLink="C14" lockText="1" noThreeD="1"/>
</file>

<file path=xl/ctrlProps/ctrlProp9.xml><?xml version="1.0" encoding="utf-8"?>
<formControlPr xmlns="http://schemas.microsoft.com/office/spreadsheetml/2009/9/main" objectType="CheckBox" fmlaLink="C15" lockText="1" noThreeD="1"/>
</file>

<file path=xl/ctrlProps/ctrlProp10.xml><?xml version="1.0" encoding="utf-8"?>
<formControlPr xmlns="http://schemas.microsoft.com/office/spreadsheetml/2009/9/main" objectType="CheckBox" fmlaLink="C19" lockText="1" noThreeD="1"/>
</file>

<file path=xl/ctrlProps/ctrlProp11.xml><?xml version="1.0" encoding="utf-8"?>
<formControlPr xmlns="http://schemas.microsoft.com/office/spreadsheetml/2009/9/main" objectType="CheckBox" fmlaLink="C20" lockText="1" noThreeD="1"/>
</file>

<file path=xl/ctrlProps/ctrlProp12.xml><?xml version="1.0" encoding="utf-8"?>
<formControlPr xmlns="http://schemas.microsoft.com/office/spreadsheetml/2009/9/main" objectType="CheckBox" fmlaLink="C21" lockText="1" noThreeD="1"/>
</file>

<file path=xl/ctrlProps/ctrlProp13.xml><?xml version="1.0" encoding="utf-8"?>
<formControlPr xmlns="http://schemas.microsoft.com/office/spreadsheetml/2009/9/main" objectType="CheckBox" fmlaLink="C22" lockText="1" noThreeD="1"/>
</file>

<file path=xl/ctrlProps/ctrlProp14.xml><?xml version="1.0" encoding="utf-8"?>
<formControlPr xmlns="http://schemas.microsoft.com/office/spreadsheetml/2009/9/main" objectType="CheckBox" fmlaLink="C23" lockText="1" noThreeD="1"/>
</file>

<file path=xl/ctrlProps/ctrlProp15.xml><?xml version="1.0" encoding="utf-8"?>
<formControlPr xmlns="http://schemas.microsoft.com/office/spreadsheetml/2009/9/main" objectType="CheckBox" fmlaLink="C26" lockText="1" noThreeD="1"/>
</file>

<file path=xl/ctrlProps/ctrlProp16.xml><?xml version="1.0" encoding="utf-8"?>
<formControlPr xmlns="http://schemas.microsoft.com/office/spreadsheetml/2009/9/main" objectType="CheckBox" fmlaLink="C27" lockText="1" noThreeD="1"/>
</file>

<file path=xl/ctrlProps/ctrlProp17.xml><?xml version="1.0" encoding="utf-8"?>
<formControlPr xmlns="http://schemas.microsoft.com/office/spreadsheetml/2009/9/main" objectType="CheckBox" fmlaLink="C28" lockText="1" noThreeD="1"/>
</file>

<file path=xl/ctrlProps/ctrlProp18.xml><?xml version="1.0" encoding="utf-8"?>
<formControlPr xmlns="http://schemas.microsoft.com/office/spreadsheetml/2009/9/main" objectType="CheckBox" fmlaLink="C29" lockText="1" noThreeD="1"/>
</file>

<file path=xl/ctrlProps/ctrlProp19.xml><?xml version="1.0" encoding="utf-8"?>
<formControlPr xmlns="http://schemas.microsoft.com/office/spreadsheetml/2009/9/main" objectType="CheckBox" fmlaLink="C30" lockText="1" noThreeD="1"/>
</file>

<file path=xl/ctrlProps/ctrlProp20.xml><?xml version="1.0" encoding="utf-8"?>
<formControlPr xmlns="http://schemas.microsoft.com/office/spreadsheetml/2009/9/main" objectType="CheckBox" fmlaLink="C31" lockText="1" noThreeD="1"/>
</file>

<file path=xl/ctrlProps/ctrlProp21.xml><?xml version="1.0" encoding="utf-8"?>
<formControlPr xmlns="http://schemas.microsoft.com/office/spreadsheetml/2009/9/main" objectType="CheckBox" fmlaLink="C32" lockText="1" noThreeD="1"/>
</file>

<file path=xl/ctrlProps/ctrlProp22.xml><?xml version="1.0" encoding="utf-8"?>
<formControlPr xmlns="http://schemas.microsoft.com/office/spreadsheetml/2009/9/main" objectType="CheckBox" fmlaLink="C33"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C$24" lockText="1" noThreeD="1"/>
</file>

<file path=xl/ctrlProps/ctrlProp27.xml><?xml version="1.0" encoding="utf-8"?>
<formControlPr xmlns="http://schemas.microsoft.com/office/spreadsheetml/2009/9/main" objectType="CheckBox" fmlaLink="$C$35" lockText="1" noThreeD="1"/>
</file>

<file path=xl/ctrlProps/ctrlProp28.xml><?xml version="1.0" encoding="utf-8"?>
<formControlPr xmlns="http://schemas.microsoft.com/office/spreadsheetml/2009/9/main" objectType="CheckBox" fmlaLink="$C$36" lockText="1" noThreeD="1"/>
</file>

<file path=xl/ctrlProps/ctrlProp29.xml><?xml version="1.0" encoding="utf-8"?>
<formControlPr xmlns="http://schemas.microsoft.com/office/spreadsheetml/2009/9/main" objectType="CheckBox" fmlaLink="$C$37" lockText="1" noThreeD="1"/>
</file>

<file path=xl/ctrlProps/ctrlProp30.xml><?xml version="1.0" encoding="utf-8"?>
<formControlPr xmlns="http://schemas.microsoft.com/office/spreadsheetml/2009/9/main" objectType="CheckBox" fmlaLink="$C$38" lockText="1" noThreeD="1"/>
</file>

<file path=xl/ctrlProps/ctrlProp31.xml><?xml version="1.0" encoding="utf-8"?>
<formControlPr xmlns="http://schemas.microsoft.com/office/spreadsheetml/2009/9/main" objectType="CheckBox" fmlaLink="$C$39" lockText="1" noThreeD="1"/>
</file>

<file path=xl/ctrlProps/ctrlProp32.xml><?xml version="1.0" encoding="utf-8"?>
<formControlPr xmlns="http://schemas.microsoft.com/office/spreadsheetml/2009/9/main" objectType="CheckBox" fmlaLink="$C$40" lockText="1" noThreeD="1"/>
</file>

<file path=xl/ctrlProps/ctrlProp33.xml><?xml version="1.0" encoding="utf-8"?>
<formControlPr xmlns="http://schemas.microsoft.com/office/spreadsheetml/2009/9/main" objectType="CheckBox" fmlaLink="$C$41"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C$9" lockText="1" noThreeD="1"/>
</file>

<file path=xl/ctrlProps/ctrlProp36.xml><?xml version="1.0" encoding="utf-8"?>
<formControlPr xmlns="http://schemas.microsoft.com/office/spreadsheetml/2009/9/main" objectType="CheckBox" fmlaLink="C10" lockText="1" noThreeD="1"/>
</file>

<file path=xl/ctrlProps/ctrlProp37.xml><?xml version="1.0" encoding="utf-8"?>
<formControlPr xmlns="http://schemas.microsoft.com/office/spreadsheetml/2009/9/main" objectType="CheckBox" fmlaLink="C11" lockText="1" noThreeD="1"/>
</file>

<file path=xl/ctrlProps/ctrlProp38.xml><?xml version="1.0" encoding="utf-8"?>
<formControlPr xmlns="http://schemas.microsoft.com/office/spreadsheetml/2009/9/main" objectType="CheckBox" fmlaLink="C16" lockText="1" noThreeD="1"/>
</file>

<file path=xl/ctrlProps/ctrlProp39.xml><?xml version="1.0" encoding="utf-8"?>
<formControlPr xmlns="http://schemas.microsoft.com/office/spreadsheetml/2009/9/main" objectType="CheckBox" fmlaLink="C1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2.png"/><Relationship Id="rId3" Type="http://schemas.openxmlformats.org/officeDocument/2006/relationships/hyperlink" Target="#GDHI!A1"/><Relationship Id="rId7" Type="http://schemas.openxmlformats.org/officeDocument/2006/relationships/hyperlink" Target="#IS4H!A1"/><Relationship Id="rId12" Type="http://schemas.openxmlformats.org/officeDocument/2006/relationships/hyperlink" Target="#SOCI!A1"/><Relationship Id="rId2" Type="http://schemas.openxmlformats.org/officeDocument/2006/relationships/image" Target="../media/image6.png"/><Relationship Id="rId1" Type="http://schemas.openxmlformats.org/officeDocument/2006/relationships/hyperlink" Target="#EDIT!A1"/><Relationship Id="rId6" Type="http://schemas.openxmlformats.org/officeDocument/2006/relationships/image" Target="../media/image8.png"/><Relationship Id="rId11" Type="http://schemas.openxmlformats.org/officeDocument/2006/relationships/image" Target="../media/image11.jpeg"/><Relationship Id="rId5" Type="http://schemas.openxmlformats.org/officeDocument/2006/relationships/hyperlink" Target="#IMM!A1"/><Relationship Id="rId10" Type="http://schemas.openxmlformats.org/officeDocument/2006/relationships/image" Target="../media/image10.jpeg"/><Relationship Id="rId4" Type="http://schemas.openxmlformats.org/officeDocument/2006/relationships/image" Target="../media/image7.png"/><Relationship Id="rId9" Type="http://schemas.openxmlformats.org/officeDocument/2006/relationships/hyperlink" Target="#SCORE!A1"/></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123825</xdr:rowOff>
    </xdr:from>
    <xdr:to>
      <xdr:col>3</xdr:col>
      <xdr:colOff>1009651</xdr:colOff>
      <xdr:row>24</xdr:row>
      <xdr:rowOff>95250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8629650"/>
          <a:ext cx="10963276" cy="117157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absoluteAnchor>
    <xdr:pos x="3526484" y="238839"/>
    <xdr:ext cx="7586250" cy="1906228"/>
    <xdr:grpSp>
      <xdr:nvGrpSpPr>
        <xdr:cNvPr id="4" name="Group 3">
          <a:extLst>
            <a:ext uri="{FF2B5EF4-FFF2-40B4-BE49-F238E27FC236}">
              <a16:creationId xmlns:a16="http://schemas.microsoft.com/office/drawing/2014/main" id="{00000000-0008-0000-0000-000004000000}"/>
            </a:ext>
          </a:extLst>
        </xdr:cNvPr>
        <xdr:cNvGrpSpPr/>
      </xdr:nvGrpSpPr>
      <xdr:grpSpPr>
        <a:xfrm>
          <a:off x="3526484" y="238839"/>
          <a:ext cx="7586250" cy="1906228"/>
          <a:chOff x="4231587" y="625077"/>
          <a:chExt cx="7544325" cy="1192435"/>
        </a:xfrm>
      </xdr:grpSpPr>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231587" y="1464583"/>
            <a:ext cx="4827132" cy="352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p>
            <a:r>
              <a:rPr lang="en-US" sz="3200" spc="-130" baseline="0">
                <a:solidFill>
                  <a:schemeClr val="bg1"/>
                </a:solidFill>
                <a:latin typeface="+mn-lt"/>
              </a:rPr>
              <a:t>Decision Support Workbook</a:t>
            </a:r>
            <a:endParaRPr lang="en-US" sz="3200" spc="-130">
              <a:solidFill>
                <a:schemeClr val="bg1"/>
              </a:solidFill>
              <a:latin typeface="+mn-lt"/>
            </a:endParaRPr>
          </a:p>
        </xdr:txBody>
      </xdr:sp>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4250531" y="625077"/>
            <a:ext cx="7525381" cy="795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p>
            <a:r>
              <a:rPr lang="en-US" sz="4000" spc="-130">
                <a:solidFill>
                  <a:schemeClr val="bg1"/>
                </a:solidFill>
                <a:latin typeface="+mn-lt"/>
              </a:rPr>
              <a:t>A Navigator</a:t>
            </a:r>
            <a:r>
              <a:rPr lang="en-US" sz="4000" spc="-130" baseline="0">
                <a:solidFill>
                  <a:schemeClr val="bg1"/>
                </a:solidFill>
                <a:latin typeface="+mn-lt"/>
              </a:rPr>
              <a:t> </a:t>
            </a:r>
          </a:p>
          <a:p>
            <a:r>
              <a:rPr lang="en-US" sz="4000" spc="-130" baseline="0">
                <a:solidFill>
                  <a:schemeClr val="bg1"/>
                </a:solidFill>
                <a:latin typeface="+mn-lt"/>
              </a:rPr>
              <a:t>for Digital Health Capability Models</a:t>
            </a:r>
            <a:endParaRPr lang="en-US" sz="4000" spc="-130">
              <a:solidFill>
                <a:schemeClr val="bg1"/>
              </a:solidFill>
              <a:latin typeface="+mn-lt"/>
            </a:endParaRPr>
          </a:p>
        </xdr:txBody>
      </xdr:sp>
    </xdr:grpSp>
    <xdr:clientData/>
  </xdr:absoluteAnchor>
  <xdr:twoCellAnchor>
    <xdr:from>
      <xdr:col>2</xdr:col>
      <xdr:colOff>3412</xdr:colOff>
      <xdr:row>17</xdr:row>
      <xdr:rowOff>142875</xdr:rowOff>
    </xdr:from>
    <xdr:to>
      <xdr:col>2</xdr:col>
      <xdr:colOff>3412</xdr:colOff>
      <xdr:row>22</xdr:row>
      <xdr:rowOff>116742</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7218600" y="8709423"/>
          <a:ext cx="0" cy="848975"/>
          <a:chOff x="10214212" y="9134475"/>
          <a:chExt cx="3863738" cy="964467"/>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14212" y="9173949"/>
            <a:ext cx="3669538" cy="924993"/>
          </a:xfrm>
          <a:prstGeom prst="rect">
            <a:avLst/>
          </a:prstGeom>
        </xdr:spPr>
      </xdr:pic>
      <xdr:pic>
        <xdr:nvPicPr>
          <xdr:cNvPr id="9" name="Picture 8">
            <a:extLst>
              <a:ext uri="{FF2B5EF4-FFF2-40B4-BE49-F238E27FC236}">
                <a16:creationId xmlns:a16="http://schemas.microsoft.com/office/drawing/2014/main" id="{00000000-0008-0000-0000-000009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 t="11724" r="9692" b="9411"/>
          <a:stretch/>
        </xdr:blipFill>
        <xdr:spPr bwMode="auto">
          <a:xfrm>
            <a:off x="13011150" y="9134475"/>
            <a:ext cx="1066800" cy="909320"/>
          </a:xfrm>
          <a:prstGeom prst="rect">
            <a:avLst/>
          </a:prstGeom>
          <a:ln>
            <a:noFill/>
          </a:ln>
          <a:extLst>
            <a:ext uri="{53640926-AAD7-44D8-BBD7-CCE9431645EC}">
              <a14:shadowObscured xmlns:a14="http://schemas.microsoft.com/office/drawing/2010/main"/>
            </a:ext>
          </a:extLst>
        </xdr:spPr>
      </xdr:pic>
    </xdr:grpSp>
    <xdr:clientData/>
  </xdr:twoCellAnchor>
  <xdr:twoCellAnchor editAs="oneCell">
    <xdr:from>
      <xdr:col>0</xdr:col>
      <xdr:colOff>57610</xdr:colOff>
      <xdr:row>1</xdr:row>
      <xdr:rowOff>0</xdr:rowOff>
    </xdr:from>
    <xdr:to>
      <xdr:col>0</xdr:col>
      <xdr:colOff>3192355</xdr:colOff>
      <xdr:row>2</xdr:row>
      <xdr:rowOff>19050</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3"/>
        <a:srcRect b="28595"/>
        <a:stretch/>
      </xdr:blipFill>
      <xdr:spPr>
        <a:xfrm>
          <a:off x="57610" y="180975"/>
          <a:ext cx="3134745" cy="2238375"/>
        </a:xfrm>
        <a:prstGeom prst="rect">
          <a:avLst/>
        </a:prstGeom>
      </xdr:spPr>
    </xdr:pic>
    <xdr:clientData/>
  </xdr:twoCellAnchor>
  <xdr:twoCellAnchor editAs="oneCell">
    <xdr:from>
      <xdr:col>3</xdr:col>
      <xdr:colOff>2438400</xdr:colOff>
      <xdr:row>1</xdr:row>
      <xdr:rowOff>104775</xdr:rowOff>
    </xdr:from>
    <xdr:to>
      <xdr:col>3</xdr:col>
      <xdr:colOff>3352800</xdr:colOff>
      <xdr:row>1</xdr:row>
      <xdr:rowOff>1019175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392025" y="276225"/>
          <a:ext cx="914400" cy="914400"/>
        </a:xfrm>
        <a:prstGeom prst="rect">
          <a:avLst/>
        </a:prstGeom>
      </xdr:spPr>
    </xdr:pic>
    <xdr:clientData/>
  </xdr:twoCellAnchor>
  <xdr:twoCellAnchor editAs="oneCell">
    <xdr:from>
      <xdr:col>1</xdr:col>
      <xdr:colOff>1969167</xdr:colOff>
      <xdr:row>18</xdr:row>
      <xdr:rowOff>73818</xdr:rowOff>
    </xdr:from>
    <xdr:to>
      <xdr:col>3</xdr:col>
      <xdr:colOff>262631</xdr:colOff>
      <xdr:row>23</xdr:row>
      <xdr:rowOff>130968</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5321967" y="8751093"/>
          <a:ext cx="4894289" cy="914400"/>
        </a:xfrm>
        <a:prstGeom prst="rect">
          <a:avLst/>
        </a:prstGeom>
      </xdr:spPr>
    </xdr:pic>
    <xdr:clientData/>
  </xdr:twoCellAnchor>
  <xdr:twoCellAnchor>
    <xdr:from>
      <xdr:col>0</xdr:col>
      <xdr:colOff>0</xdr:colOff>
      <xdr:row>18</xdr:row>
      <xdr:rowOff>149938</xdr:rowOff>
    </xdr:from>
    <xdr:to>
      <xdr:col>1</xdr:col>
      <xdr:colOff>1685925</xdr:colOff>
      <xdr:row>22</xdr:row>
      <xdr:rowOff>95249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0" y="8827213"/>
          <a:ext cx="5038725" cy="6311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solidFill>
                <a:schemeClr val="dk1"/>
              </a:solidFill>
              <a:effectLst/>
              <a:latin typeface="+mn-lt"/>
              <a:ea typeface="Century Gothic" charset="0"/>
              <a:cs typeface="Century Gothic" charset="0"/>
            </a:rPr>
            <a:t>This publication was made possible by the support of the American people through the United States Agency for International Development (USAID). The contents are the responsibility of PATH and do not necessarily reflect the views of USAID or the United States Government. </a:t>
          </a:r>
          <a:endParaRPr lang="en-US" sz="900">
            <a:latin typeface="+mn-lt"/>
            <a:ea typeface="Century Gothic" charset="0"/>
            <a:cs typeface="Century Gothic"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185738</xdr:colOff>
          <xdr:row>2</xdr:row>
          <xdr:rowOff>0</xdr:rowOff>
        </xdr:from>
        <xdr:to>
          <xdr:col>1</xdr:col>
          <xdr:colOff>423863</xdr:colOff>
          <xdr:row>3</xdr:row>
          <xdr:rowOff>0</xdr:rowOff>
        </xdr:to>
        <xdr:sp macro="" textlink="">
          <xdr:nvSpPr>
            <xdr:cNvPr id="1026" name="S1Q1" descr="Check Box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3</xdr:row>
          <xdr:rowOff>0</xdr:rowOff>
        </xdr:from>
        <xdr:to>
          <xdr:col>1</xdr:col>
          <xdr:colOff>423863</xdr:colOff>
          <xdr:row>4</xdr:row>
          <xdr:rowOff>0</xdr:rowOff>
        </xdr:to>
        <xdr:sp macro="" textlink="">
          <xdr:nvSpPr>
            <xdr:cNvPr id="1028" name="S1Q2"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4</xdr:row>
          <xdr:rowOff>0</xdr:rowOff>
        </xdr:from>
        <xdr:to>
          <xdr:col>1</xdr:col>
          <xdr:colOff>423863</xdr:colOff>
          <xdr:row>5</xdr:row>
          <xdr:rowOff>0</xdr:rowOff>
        </xdr:to>
        <xdr:sp macro="" textlink="">
          <xdr:nvSpPr>
            <xdr:cNvPr id="1029" name="S1Q3"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5</xdr:row>
          <xdr:rowOff>0</xdr:rowOff>
        </xdr:from>
        <xdr:to>
          <xdr:col>1</xdr:col>
          <xdr:colOff>423863</xdr:colOff>
          <xdr:row>6</xdr:row>
          <xdr:rowOff>0</xdr:rowOff>
        </xdr:to>
        <xdr:sp macro="" textlink="">
          <xdr:nvSpPr>
            <xdr:cNvPr id="1030" name="S1Q4"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6</xdr:row>
          <xdr:rowOff>0</xdr:rowOff>
        </xdr:from>
        <xdr:to>
          <xdr:col>1</xdr:col>
          <xdr:colOff>423863</xdr:colOff>
          <xdr:row>7</xdr:row>
          <xdr:rowOff>0</xdr:rowOff>
        </xdr:to>
        <xdr:sp macro="" textlink="">
          <xdr:nvSpPr>
            <xdr:cNvPr id="1031" name="S1Q5"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7</xdr:row>
          <xdr:rowOff>0</xdr:rowOff>
        </xdr:from>
        <xdr:to>
          <xdr:col>1</xdr:col>
          <xdr:colOff>423863</xdr:colOff>
          <xdr:row>8</xdr:row>
          <xdr:rowOff>0</xdr:rowOff>
        </xdr:to>
        <xdr:sp macro="" textlink="">
          <xdr:nvSpPr>
            <xdr:cNvPr id="1032" name="S1Q6"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12</xdr:row>
          <xdr:rowOff>0</xdr:rowOff>
        </xdr:from>
        <xdr:to>
          <xdr:col>1</xdr:col>
          <xdr:colOff>423863</xdr:colOff>
          <xdr:row>13</xdr:row>
          <xdr:rowOff>0</xdr:rowOff>
        </xdr:to>
        <xdr:sp macro="" textlink="">
          <xdr:nvSpPr>
            <xdr:cNvPr id="1034" name="S2Q1"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13</xdr:row>
          <xdr:rowOff>0</xdr:rowOff>
        </xdr:from>
        <xdr:to>
          <xdr:col>1</xdr:col>
          <xdr:colOff>423863</xdr:colOff>
          <xdr:row>14</xdr:row>
          <xdr:rowOff>0</xdr:rowOff>
        </xdr:to>
        <xdr:sp macro="" textlink="">
          <xdr:nvSpPr>
            <xdr:cNvPr id="1035" name="S2Q2"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14</xdr:row>
          <xdr:rowOff>0</xdr:rowOff>
        </xdr:from>
        <xdr:to>
          <xdr:col>1</xdr:col>
          <xdr:colOff>423863</xdr:colOff>
          <xdr:row>15</xdr:row>
          <xdr:rowOff>0</xdr:rowOff>
        </xdr:to>
        <xdr:sp macro="" textlink="">
          <xdr:nvSpPr>
            <xdr:cNvPr id="1036" name="S2Q3"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18</xdr:row>
          <xdr:rowOff>0</xdr:rowOff>
        </xdr:from>
        <xdr:to>
          <xdr:col>1</xdr:col>
          <xdr:colOff>423863</xdr:colOff>
          <xdr:row>19</xdr:row>
          <xdr:rowOff>0</xdr:rowOff>
        </xdr:to>
        <xdr:sp macro="" textlink="">
          <xdr:nvSpPr>
            <xdr:cNvPr id="1043" name="S3Q1" hidden="1">
              <a:extLst>
                <a:ext uri="{63B3BB69-23CF-44E3-9099-C40C66FF867C}">
                  <a14:compatExt spid="_x0000_s1043"/>
                </a:ext>
                <a:ext uri="{FF2B5EF4-FFF2-40B4-BE49-F238E27FC236}">
                  <a16:creationId xmlns:a16="http://schemas.microsoft.com/office/drawing/2014/main" id="{00000000-0008-0000-02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19</xdr:row>
          <xdr:rowOff>0</xdr:rowOff>
        </xdr:from>
        <xdr:to>
          <xdr:col>1</xdr:col>
          <xdr:colOff>423863</xdr:colOff>
          <xdr:row>20</xdr:row>
          <xdr:rowOff>0</xdr:rowOff>
        </xdr:to>
        <xdr:sp macro="" textlink="">
          <xdr:nvSpPr>
            <xdr:cNvPr id="1044" name="S3Q2" hidden="1">
              <a:extLst>
                <a:ext uri="{63B3BB69-23CF-44E3-9099-C40C66FF867C}">
                  <a14:compatExt spid="_x0000_s1044"/>
                </a:ext>
                <a:ext uri="{FF2B5EF4-FFF2-40B4-BE49-F238E27FC236}">
                  <a16:creationId xmlns:a16="http://schemas.microsoft.com/office/drawing/2014/main" id="{00000000-0008-0000-02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20</xdr:row>
          <xdr:rowOff>0</xdr:rowOff>
        </xdr:from>
        <xdr:to>
          <xdr:col>1</xdr:col>
          <xdr:colOff>423863</xdr:colOff>
          <xdr:row>21</xdr:row>
          <xdr:rowOff>0</xdr:rowOff>
        </xdr:to>
        <xdr:sp macro="" textlink="">
          <xdr:nvSpPr>
            <xdr:cNvPr id="1046" name="S3Q3" hidden="1">
              <a:extLst>
                <a:ext uri="{63B3BB69-23CF-44E3-9099-C40C66FF867C}">
                  <a14:compatExt spid="_x0000_s1046"/>
                </a:ext>
                <a:ext uri="{FF2B5EF4-FFF2-40B4-BE49-F238E27FC236}">
                  <a16:creationId xmlns:a16="http://schemas.microsoft.com/office/drawing/2014/main" id="{00000000-0008-0000-02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21</xdr:row>
          <xdr:rowOff>0</xdr:rowOff>
        </xdr:from>
        <xdr:to>
          <xdr:col>1</xdr:col>
          <xdr:colOff>423863</xdr:colOff>
          <xdr:row>22</xdr:row>
          <xdr:rowOff>0</xdr:rowOff>
        </xdr:to>
        <xdr:sp macro="" textlink="">
          <xdr:nvSpPr>
            <xdr:cNvPr id="1047" name="S3Q4"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22</xdr:row>
          <xdr:rowOff>0</xdr:rowOff>
        </xdr:from>
        <xdr:to>
          <xdr:col>1</xdr:col>
          <xdr:colOff>423863</xdr:colOff>
          <xdr:row>23</xdr:row>
          <xdr:rowOff>0</xdr:rowOff>
        </xdr:to>
        <xdr:sp macro="" textlink="">
          <xdr:nvSpPr>
            <xdr:cNvPr id="1048" name="S3Q5"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25</xdr:row>
          <xdr:rowOff>0</xdr:rowOff>
        </xdr:from>
        <xdr:to>
          <xdr:col>1</xdr:col>
          <xdr:colOff>423863</xdr:colOff>
          <xdr:row>26</xdr:row>
          <xdr:rowOff>0</xdr:rowOff>
        </xdr:to>
        <xdr:sp macro="" textlink="">
          <xdr:nvSpPr>
            <xdr:cNvPr id="1049" name="S4Q1" hidden="1">
              <a:extLst>
                <a:ext uri="{63B3BB69-23CF-44E3-9099-C40C66FF867C}">
                  <a14:compatExt spid="_x0000_s1049"/>
                </a:ext>
                <a:ext uri="{FF2B5EF4-FFF2-40B4-BE49-F238E27FC236}">
                  <a16:creationId xmlns:a16="http://schemas.microsoft.com/office/drawing/2014/main" id="{00000000-0008-0000-02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26</xdr:row>
          <xdr:rowOff>0</xdr:rowOff>
        </xdr:from>
        <xdr:to>
          <xdr:col>1</xdr:col>
          <xdr:colOff>423863</xdr:colOff>
          <xdr:row>27</xdr:row>
          <xdr:rowOff>0</xdr:rowOff>
        </xdr:to>
        <xdr:sp macro="" textlink="">
          <xdr:nvSpPr>
            <xdr:cNvPr id="1050" name="S4Q2"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27</xdr:row>
          <xdr:rowOff>0</xdr:rowOff>
        </xdr:from>
        <xdr:to>
          <xdr:col>1</xdr:col>
          <xdr:colOff>423863</xdr:colOff>
          <xdr:row>28</xdr:row>
          <xdr:rowOff>0</xdr:rowOff>
        </xdr:to>
        <xdr:sp macro="" textlink="">
          <xdr:nvSpPr>
            <xdr:cNvPr id="1051" name="S4Q3"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28</xdr:row>
          <xdr:rowOff>0</xdr:rowOff>
        </xdr:from>
        <xdr:to>
          <xdr:col>1</xdr:col>
          <xdr:colOff>423863</xdr:colOff>
          <xdr:row>29</xdr:row>
          <xdr:rowOff>0</xdr:rowOff>
        </xdr:to>
        <xdr:sp macro="" textlink="">
          <xdr:nvSpPr>
            <xdr:cNvPr id="1052" name="S4Q4"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29</xdr:row>
          <xdr:rowOff>0</xdr:rowOff>
        </xdr:from>
        <xdr:to>
          <xdr:col>1</xdr:col>
          <xdr:colOff>423863</xdr:colOff>
          <xdr:row>30</xdr:row>
          <xdr:rowOff>0</xdr:rowOff>
        </xdr:to>
        <xdr:sp macro="" textlink="">
          <xdr:nvSpPr>
            <xdr:cNvPr id="1053" name="S4Q5" hidden="1">
              <a:extLst>
                <a:ext uri="{63B3BB69-23CF-44E3-9099-C40C66FF867C}">
                  <a14:compatExt spid="_x0000_s1053"/>
                </a:ext>
                <a:ext uri="{FF2B5EF4-FFF2-40B4-BE49-F238E27FC236}">
                  <a16:creationId xmlns:a16="http://schemas.microsoft.com/office/drawing/2014/main" id="{00000000-0008-0000-02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30</xdr:row>
          <xdr:rowOff>0</xdr:rowOff>
        </xdr:from>
        <xdr:to>
          <xdr:col>1</xdr:col>
          <xdr:colOff>423863</xdr:colOff>
          <xdr:row>31</xdr:row>
          <xdr:rowOff>0</xdr:rowOff>
        </xdr:to>
        <xdr:sp macro="" textlink="">
          <xdr:nvSpPr>
            <xdr:cNvPr id="1054" name="S4Q6"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31</xdr:row>
          <xdr:rowOff>0</xdr:rowOff>
        </xdr:from>
        <xdr:to>
          <xdr:col>1</xdr:col>
          <xdr:colOff>423863</xdr:colOff>
          <xdr:row>32</xdr:row>
          <xdr:rowOff>0</xdr:rowOff>
        </xdr:to>
        <xdr:sp macro="" textlink="">
          <xdr:nvSpPr>
            <xdr:cNvPr id="1055" name="S4Q7"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32</xdr:row>
          <xdr:rowOff>0</xdr:rowOff>
        </xdr:from>
        <xdr:to>
          <xdr:col>1</xdr:col>
          <xdr:colOff>423863</xdr:colOff>
          <xdr:row>33</xdr:row>
          <xdr:rowOff>0</xdr:rowOff>
        </xdr:to>
        <xdr:sp macro="" textlink="">
          <xdr:nvSpPr>
            <xdr:cNvPr id="1056" name="S4Q8"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61913</xdr:colOff>
          <xdr:row>42</xdr:row>
          <xdr:rowOff>38100</xdr:rowOff>
        </xdr:from>
        <xdr:to>
          <xdr:col>0</xdr:col>
          <xdr:colOff>952500</xdr:colOff>
          <xdr:row>43</xdr:row>
          <xdr:rowOff>109538</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Process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61913</xdr:colOff>
          <xdr:row>48</xdr:row>
          <xdr:rowOff>33338</xdr:rowOff>
        </xdr:from>
        <xdr:to>
          <xdr:col>0</xdr:col>
          <xdr:colOff>952500</xdr:colOff>
          <xdr:row>49</xdr:row>
          <xdr:rowOff>119063</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61913</xdr:colOff>
          <xdr:row>45</xdr:row>
          <xdr:rowOff>23813</xdr:rowOff>
        </xdr:from>
        <xdr:to>
          <xdr:col>0</xdr:col>
          <xdr:colOff>952500</xdr:colOff>
          <xdr:row>46</xdr:row>
          <xdr:rowOff>114300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200-00002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Process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185738</xdr:colOff>
          <xdr:row>23</xdr:row>
          <xdr:rowOff>0</xdr:rowOff>
        </xdr:from>
        <xdr:to>
          <xdr:col>1</xdr:col>
          <xdr:colOff>423863</xdr:colOff>
          <xdr:row>24</xdr:row>
          <xdr:rowOff>0</xdr:rowOff>
        </xdr:to>
        <xdr:sp macro="" textlink="">
          <xdr:nvSpPr>
            <xdr:cNvPr id="1061" name="S3Q6" hidden="1">
              <a:extLst>
                <a:ext uri="{63B3BB69-23CF-44E3-9099-C40C66FF867C}">
                  <a14:compatExt spid="_x0000_s1061"/>
                </a:ext>
                <a:ext uri="{FF2B5EF4-FFF2-40B4-BE49-F238E27FC236}">
                  <a16:creationId xmlns:a16="http://schemas.microsoft.com/office/drawing/2014/main" id="{00000000-0008-0000-02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34</xdr:row>
          <xdr:rowOff>4763</xdr:rowOff>
        </xdr:from>
        <xdr:to>
          <xdr:col>1</xdr:col>
          <xdr:colOff>423863</xdr:colOff>
          <xdr:row>34</xdr:row>
          <xdr:rowOff>176213</xdr:rowOff>
        </xdr:to>
        <xdr:sp macro="" textlink="">
          <xdr:nvSpPr>
            <xdr:cNvPr id="1062" name="Tool1" hidden="1">
              <a:extLst>
                <a:ext uri="{63B3BB69-23CF-44E3-9099-C40C66FF867C}">
                  <a14:compatExt spid="_x0000_s1062"/>
                </a:ext>
                <a:ext uri="{FF2B5EF4-FFF2-40B4-BE49-F238E27FC236}">
                  <a16:creationId xmlns:a16="http://schemas.microsoft.com/office/drawing/2014/main" id="{00000000-0008-0000-02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35</xdr:row>
          <xdr:rowOff>0</xdr:rowOff>
        </xdr:from>
        <xdr:to>
          <xdr:col>1</xdr:col>
          <xdr:colOff>423863</xdr:colOff>
          <xdr:row>36</xdr:row>
          <xdr:rowOff>0</xdr:rowOff>
        </xdr:to>
        <xdr:sp macro="" textlink="">
          <xdr:nvSpPr>
            <xdr:cNvPr id="1063" name="Tool2"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36</xdr:row>
          <xdr:rowOff>0</xdr:rowOff>
        </xdr:from>
        <xdr:to>
          <xdr:col>1</xdr:col>
          <xdr:colOff>423863</xdr:colOff>
          <xdr:row>37</xdr:row>
          <xdr:rowOff>0</xdr:rowOff>
        </xdr:to>
        <xdr:sp macro="" textlink="">
          <xdr:nvSpPr>
            <xdr:cNvPr id="1064" name="Tool3"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37</xdr:row>
          <xdr:rowOff>4763</xdr:rowOff>
        </xdr:from>
        <xdr:to>
          <xdr:col>1</xdr:col>
          <xdr:colOff>423863</xdr:colOff>
          <xdr:row>38</xdr:row>
          <xdr:rowOff>4763</xdr:rowOff>
        </xdr:to>
        <xdr:sp macro="" textlink="">
          <xdr:nvSpPr>
            <xdr:cNvPr id="1065" name="Tool4" hidden="1">
              <a:extLst>
                <a:ext uri="{63B3BB69-23CF-44E3-9099-C40C66FF867C}">
                  <a14:compatExt spid="_x0000_s1065"/>
                </a:ext>
                <a:ext uri="{FF2B5EF4-FFF2-40B4-BE49-F238E27FC236}">
                  <a16:creationId xmlns:a16="http://schemas.microsoft.com/office/drawing/2014/main" id="{00000000-0008-0000-02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38</xdr:row>
          <xdr:rowOff>4763</xdr:rowOff>
        </xdr:from>
        <xdr:to>
          <xdr:col>1</xdr:col>
          <xdr:colOff>423863</xdr:colOff>
          <xdr:row>39</xdr:row>
          <xdr:rowOff>4763</xdr:rowOff>
        </xdr:to>
        <xdr:sp macro="" textlink="">
          <xdr:nvSpPr>
            <xdr:cNvPr id="1066" name="Tool5" hidden="1">
              <a:extLst>
                <a:ext uri="{63B3BB69-23CF-44E3-9099-C40C66FF867C}">
                  <a14:compatExt spid="_x0000_s1066"/>
                </a:ext>
                <a:ext uri="{FF2B5EF4-FFF2-40B4-BE49-F238E27FC236}">
                  <a16:creationId xmlns:a16="http://schemas.microsoft.com/office/drawing/2014/main" id="{00000000-0008-0000-02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39</xdr:row>
          <xdr:rowOff>0</xdr:rowOff>
        </xdr:from>
        <xdr:to>
          <xdr:col>1</xdr:col>
          <xdr:colOff>423863</xdr:colOff>
          <xdr:row>40</xdr:row>
          <xdr:rowOff>0</xdr:rowOff>
        </xdr:to>
        <xdr:sp macro="" textlink="">
          <xdr:nvSpPr>
            <xdr:cNvPr id="1067" name="Tool6" hidden="1">
              <a:extLst>
                <a:ext uri="{63B3BB69-23CF-44E3-9099-C40C66FF867C}">
                  <a14:compatExt spid="_x0000_s1067"/>
                </a:ext>
                <a:ext uri="{FF2B5EF4-FFF2-40B4-BE49-F238E27FC236}">
                  <a16:creationId xmlns:a16="http://schemas.microsoft.com/office/drawing/2014/main" id="{00000000-0008-0000-02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40</xdr:row>
          <xdr:rowOff>0</xdr:rowOff>
        </xdr:from>
        <xdr:to>
          <xdr:col>1</xdr:col>
          <xdr:colOff>423863</xdr:colOff>
          <xdr:row>41</xdr:row>
          <xdr:rowOff>0</xdr:rowOff>
        </xdr:to>
        <xdr:sp macro="" textlink="">
          <xdr:nvSpPr>
            <xdr:cNvPr id="1068" name="None" hidden="1">
              <a:extLst>
                <a:ext uri="{63B3BB69-23CF-44E3-9099-C40C66FF867C}">
                  <a14:compatExt spid="_x0000_s1068"/>
                </a:ext>
                <a:ext uri="{FF2B5EF4-FFF2-40B4-BE49-F238E27FC236}">
                  <a16:creationId xmlns:a16="http://schemas.microsoft.com/office/drawing/2014/main" id="{00000000-0008-0000-02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61913</xdr:colOff>
          <xdr:row>51</xdr:row>
          <xdr:rowOff>33338</xdr:rowOff>
        </xdr:from>
        <xdr:to>
          <xdr:col>0</xdr:col>
          <xdr:colOff>952500</xdr:colOff>
          <xdr:row>52</xdr:row>
          <xdr:rowOff>119063</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200-00002D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Save &amp; 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7</xdr:row>
          <xdr:rowOff>185738</xdr:rowOff>
        </xdr:from>
        <xdr:to>
          <xdr:col>17</xdr:col>
          <xdr:colOff>347663</xdr:colOff>
          <xdr:row>9</xdr:row>
          <xdr:rowOff>4763</xdr:rowOff>
        </xdr:to>
        <xdr:sp macro="" textlink="">
          <xdr:nvSpPr>
            <xdr:cNvPr id="1070" name="S1Q7" hidden="1">
              <a:extLst>
                <a:ext uri="{63B3BB69-23CF-44E3-9099-C40C66FF867C}">
                  <a14:compatExt spid="_x0000_s1070"/>
                </a:ext>
                <a:ext uri="{FF2B5EF4-FFF2-40B4-BE49-F238E27FC236}">
                  <a16:creationId xmlns:a16="http://schemas.microsoft.com/office/drawing/2014/main" id="{00000000-0008-0000-02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8</xdr:row>
          <xdr:rowOff>185738</xdr:rowOff>
        </xdr:from>
        <xdr:to>
          <xdr:col>17</xdr:col>
          <xdr:colOff>347663</xdr:colOff>
          <xdr:row>10</xdr:row>
          <xdr:rowOff>4763</xdr:rowOff>
        </xdr:to>
        <xdr:sp macro="" textlink="">
          <xdr:nvSpPr>
            <xdr:cNvPr id="1072" name="S1Q8"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185738</xdr:colOff>
          <xdr:row>9</xdr:row>
          <xdr:rowOff>176213</xdr:rowOff>
        </xdr:from>
        <xdr:to>
          <xdr:col>17</xdr:col>
          <xdr:colOff>347663</xdr:colOff>
          <xdr:row>11</xdr:row>
          <xdr:rowOff>0</xdr:rowOff>
        </xdr:to>
        <xdr:sp macro="" textlink="">
          <xdr:nvSpPr>
            <xdr:cNvPr id="1073" name="S1Q9"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14</xdr:row>
          <xdr:rowOff>185738</xdr:rowOff>
        </xdr:from>
        <xdr:to>
          <xdr:col>2</xdr:col>
          <xdr:colOff>423863</xdr:colOff>
          <xdr:row>16</xdr:row>
          <xdr:rowOff>4763</xdr:rowOff>
        </xdr:to>
        <xdr:sp macro="" textlink="">
          <xdr:nvSpPr>
            <xdr:cNvPr id="1074" name="S2Q4" hidden="1">
              <a:extLst>
                <a:ext uri="{63B3BB69-23CF-44E3-9099-C40C66FF867C}">
                  <a14:compatExt spid="_x0000_s1074"/>
                </a:ext>
                <a:ext uri="{FF2B5EF4-FFF2-40B4-BE49-F238E27FC236}">
                  <a16:creationId xmlns:a16="http://schemas.microsoft.com/office/drawing/2014/main" id="{00000000-0008-0000-02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185738</xdr:colOff>
          <xdr:row>16</xdr:row>
          <xdr:rowOff>0</xdr:rowOff>
        </xdr:from>
        <xdr:to>
          <xdr:col>2</xdr:col>
          <xdr:colOff>423863</xdr:colOff>
          <xdr:row>17</xdr:row>
          <xdr:rowOff>23813</xdr:rowOff>
        </xdr:to>
        <xdr:sp macro="" textlink="">
          <xdr:nvSpPr>
            <xdr:cNvPr id="1075" name="S2Q5" hidden="1">
              <a:extLst>
                <a:ext uri="{63B3BB69-23CF-44E3-9099-C40C66FF867C}">
                  <a14:compatExt spid="_x0000_s1075"/>
                </a:ext>
                <a:ext uri="{FF2B5EF4-FFF2-40B4-BE49-F238E27FC236}">
                  <a16:creationId xmlns:a16="http://schemas.microsoft.com/office/drawing/2014/main" id="{00000000-0008-0000-02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244475</xdr:colOff>
      <xdr:row>1</xdr:row>
      <xdr:rowOff>561975</xdr:rowOff>
    </xdr:from>
    <xdr:to>
      <xdr:col>0</xdr:col>
      <xdr:colOff>2306637</xdr:colOff>
      <xdr:row>1</xdr:row>
      <xdr:rowOff>1722437</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4475" y="933450"/>
          <a:ext cx="2062162" cy="11604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479425</xdr:colOff>
      <xdr:row>2</xdr:row>
      <xdr:rowOff>266700</xdr:rowOff>
    </xdr:from>
    <xdr:to>
      <xdr:col>0</xdr:col>
      <xdr:colOff>2201899</xdr:colOff>
      <xdr:row>3</xdr:row>
      <xdr:rowOff>17462</xdr:rowOff>
    </xdr:to>
    <xdr:pic>
      <xdr:nvPicPr>
        <xdr:cNvPr id="3" name="Picture 2">
          <a:hlinkClick xmlns:r="http://schemas.openxmlformats.org/officeDocument/2006/relationships" r:id="rId3"/>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79425" y="2428875"/>
          <a:ext cx="1722474" cy="1370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841375</xdr:colOff>
      <xdr:row>3</xdr:row>
      <xdr:rowOff>136525</xdr:rowOff>
    </xdr:from>
    <xdr:to>
      <xdr:col>0</xdr:col>
      <xdr:colOff>1835951</xdr:colOff>
      <xdr:row>3</xdr:row>
      <xdr:rowOff>1512887</xdr:rowOff>
    </xdr:to>
    <xdr:pic>
      <xdr:nvPicPr>
        <xdr:cNvPr id="4" name="Picture 3">
          <a:hlinkClick xmlns:r="http://schemas.openxmlformats.org/officeDocument/2006/relationships" r:id="rId5"/>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41375" y="3917950"/>
          <a:ext cx="994576" cy="1376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806450</xdr:colOff>
      <xdr:row>4</xdr:row>
      <xdr:rowOff>285750</xdr:rowOff>
    </xdr:from>
    <xdr:to>
      <xdr:col>0</xdr:col>
      <xdr:colOff>1856288</xdr:colOff>
      <xdr:row>4</xdr:row>
      <xdr:rowOff>1636712</xdr:rowOff>
    </xdr:to>
    <xdr:pic>
      <xdr:nvPicPr>
        <xdr:cNvPr id="5" name="Picture 4">
          <a:hlinkClick xmlns:r="http://schemas.openxmlformats.org/officeDocument/2006/relationships" r:id="rId7"/>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06450" y="5762625"/>
          <a:ext cx="1049838" cy="13509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847725</xdr:colOff>
      <xdr:row>5</xdr:row>
      <xdr:rowOff>225424</xdr:rowOff>
    </xdr:from>
    <xdr:to>
      <xdr:col>0</xdr:col>
      <xdr:colOff>1762125</xdr:colOff>
      <xdr:row>5</xdr:row>
      <xdr:rowOff>1496285</xdr:rowOff>
    </xdr:to>
    <xdr:pic>
      <xdr:nvPicPr>
        <xdr:cNvPr id="6" name="Picture 5">
          <a:hlinkClick xmlns:r="http://schemas.openxmlformats.org/officeDocument/2006/relationships" r:id="rId9"/>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47725" y="7807324"/>
          <a:ext cx="914400" cy="1270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638176</xdr:colOff>
      <xdr:row>1</xdr:row>
      <xdr:rowOff>47625</xdr:rowOff>
    </xdr:from>
    <xdr:to>
      <xdr:col>0</xdr:col>
      <xdr:colOff>1924050</xdr:colOff>
      <xdr:row>1</xdr:row>
      <xdr:rowOff>390525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38176" y="419100"/>
          <a:ext cx="1285874"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t>(click icon to jump to tool tab)</a:t>
          </a:r>
        </a:p>
      </xdr:txBody>
    </xdr:sp>
    <xdr:clientData/>
  </xdr:twoCellAnchor>
  <xdr:oneCellAnchor>
    <xdr:from>
      <xdr:col>0</xdr:col>
      <xdr:colOff>852022</xdr:colOff>
      <xdr:row>5</xdr:row>
      <xdr:rowOff>136525</xdr:rowOff>
    </xdr:from>
    <xdr:ext cx="973280" cy="1376362"/>
    <xdr:pic>
      <xdr:nvPicPr>
        <xdr:cNvPr id="8" name="Picture 7">
          <a:hlinkClick xmlns:r="http://schemas.openxmlformats.org/officeDocument/2006/relationships" r:id="rId5"/>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xdr:blipFill>
      <xdr:spPr bwMode="auto">
        <a:xfrm>
          <a:off x="852022" y="7710805"/>
          <a:ext cx="973280" cy="137636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815975</xdr:colOff>
      <xdr:row>6</xdr:row>
      <xdr:rowOff>215899</xdr:rowOff>
    </xdr:from>
    <xdr:ext cx="1033462" cy="1365301"/>
    <xdr:pic>
      <xdr:nvPicPr>
        <xdr:cNvPr id="9" name="Picture 8">
          <a:hlinkClick xmlns:r="http://schemas.openxmlformats.org/officeDocument/2006/relationships" r:id="rId12"/>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815975" y="9502774"/>
          <a:ext cx="1033462" cy="13653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676275</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 r="-80"/>
        <a:stretch/>
      </xdr:blipFill>
      <xdr:spPr bwMode="auto">
        <a:xfrm>
          <a:off x="0" y="0"/>
          <a:ext cx="1562100" cy="165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millar\Downloads\Handout%209.2.1.%20RHIS%20Rapid%20Assessment%20Tool%20Data%20Entry%20Module%2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emillar\Downloads\tl-18-09%20(2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Learning%20Agenda/Maturity%20Model/HIS%20Stages_National%20Assessment%20Tool_26Oct2018_Uganda.xlsx"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personal/manishk_ad_unc_edu/Documents/Documents/Back-Up-documents_April_28_2020/Navigator%20Pilot_July_19_2021/Learning%20Agenda/Maturity%20Model/HIS%20Stages_National%20Assessment%20Tool_26Oct2018_Uganda.xlsx?19DE2142" TargetMode="External"/><Relationship Id="rId1" Type="http://schemas.openxmlformats.org/officeDocument/2006/relationships/externalLinkPath" Target="file:///\\19DE2142\HIS%20Stages_National%20Assessment%20Tool_26Oct2018_Uganda.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avigator%20materials/Aug17/Learning%20Agenda/Maturity%20Model/HIS%20Stages_National%20Assessment%20Tool_26Oct2018_Ugand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Instructions"/>
      <sheetName val="Codes"/>
      <sheetName val="National"/>
      <sheetName val="Subnational Other"/>
      <sheetName val="Subnational District"/>
      <sheetName val="SDP"/>
      <sheetName val="Raw Data"/>
    </sheetNames>
    <sheetDataSet>
      <sheetData sheetId="0"/>
      <sheetData sheetId="1"/>
      <sheetData sheetId="2">
        <row r="3">
          <cell r="A3" t="str">
            <v>0 = No answer/Not Applicable </v>
          </cell>
        </row>
        <row r="4">
          <cell r="A4" t="str">
            <v>1 = Not present, needs to be developed</v>
          </cell>
        </row>
        <row r="5">
          <cell r="A5" t="str">
            <v>2 = Needs a lot of strengthening</v>
          </cell>
        </row>
        <row r="6">
          <cell r="A6" t="str">
            <v>3 = Needs some strengthening</v>
          </cell>
        </row>
        <row r="7">
          <cell r="A7" t="str">
            <v>4 = Already present, no action needed</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ges measurement scale"/>
      <sheetName val="Assessment -background"/>
      <sheetName val="Data site 1"/>
      <sheetName val="HIS Assessment 1"/>
      <sheetName val="HIS Assessment 2"/>
      <sheetName val="HIS Assessment 3"/>
      <sheetName val="HIS Assessment 4"/>
      <sheetName val="HIS Assessment 5"/>
      <sheetName val="HIS Assessment 6"/>
      <sheetName val="HIS Assessment 7"/>
      <sheetName val="HIS Assessment 8"/>
      <sheetName val="HIS Assessment 9"/>
      <sheetName val="HIS Assessment 10"/>
      <sheetName val="HIS Assessment 11"/>
      <sheetName val="HIS Assessment 12"/>
      <sheetName val="HIS Assessment 13"/>
      <sheetName val="HIS Assessment 14"/>
      <sheetName val="HIS Assessment 15"/>
      <sheetName val="Data site 2"/>
      <sheetName val="Data Entry &amp; Analysis"/>
      <sheetName val="Charts"/>
      <sheetName val="Data"/>
      <sheetName val="Improvement Roadmap"/>
      <sheetName val="Abbreviations"/>
      <sheetName val="Glossary"/>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ow r="2">
          <cell r="A2" t="str">
            <v>0-Not aplicable</v>
          </cell>
          <cell r="S2" t="str">
            <v>2-Repeatable</v>
          </cell>
        </row>
        <row r="3">
          <cell r="A3" t="str">
            <v>1-Emerging/Ad hoc</v>
          </cell>
          <cell r="S3" t="str">
            <v/>
          </cell>
        </row>
        <row r="4">
          <cell r="A4" t="str">
            <v>2-Repeatable</v>
          </cell>
          <cell r="S4" t="str">
            <v/>
          </cell>
        </row>
        <row r="5">
          <cell r="A5" t="str">
            <v>3-Defined</v>
          </cell>
          <cell r="S5" t="str">
            <v/>
          </cell>
        </row>
        <row r="6">
          <cell r="A6" t="str">
            <v>4-Managed</v>
          </cell>
          <cell r="S6" t="str">
            <v/>
          </cell>
        </row>
        <row r="7">
          <cell r="A7" t="str">
            <v>5-Optimized</v>
          </cell>
          <cell r="S7" t="str">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tages measurement scale"/>
      <sheetName val="Assessment -background"/>
      <sheetName val="HIS Assessment 1"/>
      <sheetName val="Data site 1"/>
      <sheetName val="HIS Assessment 2"/>
      <sheetName val="Data site 2"/>
      <sheetName val="Data Entry &amp; Analysis"/>
      <sheetName val="Data Visualization"/>
      <sheetName val="Data"/>
      <sheetName val="Improvement Roadmap"/>
      <sheetName val="Glossary"/>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0-Not aplicable</v>
          </cell>
        </row>
        <row r="3">
          <cell r="A3" t="str">
            <v>1-Emerging/Ad hoc</v>
          </cell>
        </row>
        <row r="4">
          <cell r="A4" t="str">
            <v>2-Repeatable</v>
          </cell>
        </row>
        <row r="5">
          <cell r="A5" t="str">
            <v>3-Defined</v>
          </cell>
        </row>
        <row r="6">
          <cell r="A6" t="str">
            <v>4-Managed</v>
          </cell>
        </row>
        <row r="7">
          <cell r="A7" t="str">
            <v>5-Optimized</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tages measurement scale"/>
      <sheetName val="Assessment -background"/>
      <sheetName val="HIS Assessment 1"/>
      <sheetName val="Data site 1"/>
      <sheetName val="HIS Assessment 2"/>
      <sheetName val="Data site 2"/>
      <sheetName val="Data Entry &amp; Analysis"/>
      <sheetName val="Data Visualization"/>
      <sheetName val="Data"/>
      <sheetName val="Improvement Roadmap"/>
      <sheetName val="Glossary"/>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0-Not aplicable</v>
          </cell>
        </row>
        <row r="3">
          <cell r="A3" t="str">
            <v>1-Emerging/Ad hoc</v>
          </cell>
        </row>
        <row r="4">
          <cell r="A4" t="str">
            <v>2-Repeatable</v>
          </cell>
        </row>
        <row r="5">
          <cell r="A5" t="str">
            <v>3-Defined</v>
          </cell>
        </row>
        <row r="6">
          <cell r="A6" t="str">
            <v>4-Managed</v>
          </cell>
        </row>
        <row r="7">
          <cell r="A7" t="str">
            <v>5-Optimized</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tages measurement scale"/>
      <sheetName val="Assessment -background"/>
      <sheetName val="HIS Assessment 1"/>
      <sheetName val="Data site 1"/>
      <sheetName val="HIS Assessment 2"/>
      <sheetName val="Data site 2"/>
      <sheetName val="Data Entry &amp; Analysis"/>
      <sheetName val="Data Visualization"/>
      <sheetName val="Data"/>
      <sheetName val="Improvement Roadmap"/>
      <sheetName val="Glossary"/>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0-Not aplicable</v>
          </cell>
        </row>
        <row r="3">
          <cell r="A3" t="str">
            <v>1-Emerging/Ad hoc</v>
          </cell>
        </row>
        <row r="4">
          <cell r="A4" t="str">
            <v>2-Repeatable</v>
          </cell>
        </row>
        <row r="5">
          <cell r="A5" t="str">
            <v>3-Defined</v>
          </cell>
        </row>
        <row r="6">
          <cell r="A6" t="str">
            <v>4-Managed</v>
          </cell>
        </row>
        <row r="7">
          <cell r="A7" t="str">
            <v>5-Optimized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EAE1C0-21A1-4F59-A943-FB094BB12E7D}" name="Table2" displayName="Table2" ref="A11:D17" totalsRowShown="0" headerRowDxfId="43" headerRowBorderDxfId="42" tableBorderDxfId="41" totalsRowBorderDxfId="40">
  <autoFilter ref="A11:D17" xr:uid="{E9785C99-D0B0-44D4-BEAF-771E046EE3A9}">
    <filterColumn colId="0" hiddenButton="1"/>
    <filterColumn colId="1" hiddenButton="1"/>
    <filterColumn colId="2" hiddenButton="1"/>
    <filterColumn colId="3" hiddenButton="1"/>
  </autoFilter>
  <tableColumns count="4">
    <tableColumn id="1" xr3:uid="{B4F0EE47-941F-4068-B592-43F210C09309}" name="Tool" dataDxfId="39"/>
    <tableColumn id="2" xr3:uid="{35766D44-F5F2-4C34-9912-5BBFC1A0291E}" name="Top architecture level" dataDxfId="38"/>
    <tableColumn id="3" xr3:uid="{83044519-BA0F-4397-A309-92CA3487A38A}" name="Intermediate architecture level " dataDxfId="37"/>
    <tableColumn id="4" xr3:uid="{688033F0-7B90-4CCD-ABC6-07E807B42EA7}" name="Lower architecture level" dataDxfId="36"/>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iki.digitalsquare.io/index.php/Navigator_for_Digital_Health_Capability_Mode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https://katicollective.com/tools" TargetMode="External"/><Relationship Id="rId2" Type="http://schemas.openxmlformats.org/officeDocument/2006/relationships/hyperlink" Target="https://katicollective.com/what-were-thinking-1/edit-a-tool-for-the-greater-good" TargetMode="External"/><Relationship Id="rId1" Type="http://schemas.openxmlformats.org/officeDocument/2006/relationships/hyperlink" Target="https://katicollective.com/tools" TargetMode="External"/><Relationship Id="rId5" Type="http://schemas.openxmlformats.org/officeDocument/2006/relationships/printerSettings" Target="../printerSettings/printerSettings4.bin"/><Relationship Id="rId4" Type="http://schemas.openxmlformats.org/officeDocument/2006/relationships/hyperlink" Target="https://katicollective.com/tools"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www.digitalhealthindex.org/" TargetMode="External"/><Relationship Id="rId2" Type="http://schemas.openxmlformats.org/officeDocument/2006/relationships/hyperlink" Target="http://index.digitalhealthindex.org/map" TargetMode="External"/><Relationship Id="rId1" Type="http://schemas.openxmlformats.org/officeDocument/2006/relationships/hyperlink" Target="http://index.digitalhealthindex.org/methodology"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lib.digitalsquare.io/handle/123456789/1468" TargetMode="External"/><Relationship Id="rId1" Type="http://schemas.openxmlformats.org/officeDocument/2006/relationships/hyperlink" Target="https://lib.digitalsquare.io/handle/123456789/1468"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s://www3.paho.org/ish/index.php/en/toolkit" TargetMode="External"/><Relationship Id="rId2" Type="http://schemas.openxmlformats.org/officeDocument/2006/relationships/hyperlink" Target="https://www.paho.org/ish/images/toolkit/IS4H-APG-EN.pdf?ua=1" TargetMode="External"/><Relationship Id="rId1" Type="http://schemas.openxmlformats.org/officeDocument/2006/relationships/hyperlink" Target="https://www.paho.org/ish/index.php/en/is4h-basics"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s://www.who.int/data/data-collection-tools/score" TargetMode="External"/><Relationship Id="rId2" Type="http://schemas.openxmlformats.org/officeDocument/2006/relationships/hyperlink" Target="https://www.who.int/news-room/q-a-detail/score-technical-package" TargetMode="External"/><Relationship Id="rId1" Type="http://schemas.openxmlformats.org/officeDocument/2006/relationships/hyperlink" Target="https://cdn.who.int/media/docs/default-source/world-health-data-platform/score/who_2021-01-29_methodology-score_tb.pdf?sfvrsn=6c507a39_3&amp;download=true"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lib.digitalsquare.io/handle/123456789/60911" TargetMode="External"/><Relationship Id="rId1" Type="http://schemas.openxmlformats.org/officeDocument/2006/relationships/hyperlink" Target="https://www.measureevaluation.org/resources/publications/ms-19-158/at_download/document"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iki.digitalsquare.io/index.php/What_are_Global_Goods" TargetMode="External"/><Relationship Id="rId4"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65AA-7ED5-40C5-A4D7-E7C846BC3991}">
  <sheetPr codeName="Sheet42">
    <tabColor rgb="FFB2B0C8"/>
  </sheetPr>
  <dimension ref="A2:G19"/>
  <sheetViews>
    <sheetView zoomScale="80" zoomScaleNormal="80" zoomScalePageLayoutView="25" workbookViewId="0">
      <selection activeCell="B31" sqref="B31"/>
    </sheetView>
  </sheetViews>
  <sheetFormatPr defaultColWidth="9" defaultRowHeight="13.5"/>
  <cols>
    <col min="1" max="1" width="48.9296875" style="100" customWidth="1"/>
    <col min="2" max="2" width="52.06640625" style="100" customWidth="1"/>
    <col min="3" max="3" width="44.06640625" style="100" customWidth="1"/>
    <col min="4" max="4" width="50.53125" style="100" customWidth="1"/>
    <col min="5" max="6" width="9" style="100" customWidth="1"/>
    <col min="7" max="16384" width="9" style="100"/>
  </cols>
  <sheetData>
    <row r="2" spans="1:7" ht="174.75" customHeight="1">
      <c r="A2" s="99"/>
      <c r="B2" s="275"/>
      <c r="C2" s="275"/>
      <c r="D2" s="275"/>
    </row>
    <row r="3" spans="1:7" s="101" customFormat="1" ht="9.75" customHeight="1"/>
    <row r="4" spans="1:7" s="102" customFormat="1" ht="31.5" customHeight="1">
      <c r="A4" s="270" t="s">
        <v>486</v>
      </c>
      <c r="B4" s="271"/>
      <c r="C4" s="271"/>
      <c r="D4" s="271"/>
    </row>
    <row r="5" spans="1:7" s="101" customFormat="1" ht="27" customHeight="1">
      <c r="A5" s="276" t="s">
        <v>487</v>
      </c>
      <c r="B5" s="277"/>
      <c r="C5" s="277"/>
      <c r="D5" s="277"/>
    </row>
    <row r="6" spans="1:7" s="101" customFormat="1" ht="31.5" customHeight="1">
      <c r="A6" s="103"/>
      <c r="B6" s="103"/>
    </row>
    <row r="7" spans="1:7" s="102" customFormat="1" ht="33.75" customHeight="1">
      <c r="A7" s="104" t="s">
        <v>19</v>
      </c>
      <c r="B7" s="278"/>
      <c r="C7" s="278"/>
      <c r="D7" s="278"/>
    </row>
    <row r="8" spans="1:7" s="101" customFormat="1" ht="119.25" customHeight="1">
      <c r="A8" s="268" t="s">
        <v>511</v>
      </c>
      <c r="B8" s="269"/>
      <c r="C8" s="269"/>
      <c r="D8" s="269"/>
      <c r="F8" s="105"/>
      <c r="G8" s="105"/>
    </row>
    <row r="9" spans="1:7" s="101" customFormat="1" ht="14.25">
      <c r="A9" s="106"/>
      <c r="B9" s="107"/>
    </row>
    <row r="10" spans="1:7" s="102" customFormat="1" ht="23.25" customHeight="1">
      <c r="A10" s="270" t="s">
        <v>20</v>
      </c>
      <c r="B10" s="271"/>
      <c r="C10" s="271"/>
      <c r="D10" s="271"/>
    </row>
    <row r="11" spans="1:7" s="101" customFormat="1" ht="51" customHeight="1">
      <c r="A11" s="268" t="s">
        <v>512</v>
      </c>
      <c r="B11" s="269"/>
      <c r="C11" s="269"/>
      <c r="D11" s="269"/>
    </row>
    <row r="12" spans="1:7" s="101" customFormat="1" ht="14.25">
      <c r="A12" s="108"/>
      <c r="B12" s="107"/>
    </row>
    <row r="13" spans="1:7" s="102" customFormat="1" ht="23.25" customHeight="1">
      <c r="A13" s="270" t="s">
        <v>21</v>
      </c>
      <c r="B13" s="271"/>
      <c r="C13" s="271"/>
      <c r="D13" s="271"/>
    </row>
    <row r="14" spans="1:7" s="101" customFormat="1" ht="54" customHeight="1">
      <c r="A14" s="272" t="s">
        <v>513</v>
      </c>
      <c r="B14" s="269"/>
      <c r="C14" s="269"/>
      <c r="D14" s="269"/>
    </row>
    <row r="15" spans="1:7" s="101" customFormat="1" ht="14.25">
      <c r="A15" s="103"/>
      <c r="B15" s="103"/>
    </row>
    <row r="16" spans="1:7" s="102" customFormat="1" ht="14.75" customHeight="1">
      <c r="A16" s="109"/>
      <c r="B16" s="110"/>
      <c r="C16" s="110"/>
      <c r="D16" s="110"/>
    </row>
    <row r="17" spans="1:2" s="102" customFormat="1" ht="24.75" customHeight="1">
      <c r="A17" s="273" t="s">
        <v>22</v>
      </c>
      <c r="B17" s="274"/>
    </row>
    <row r="18" spans="1:2" s="101" customFormat="1" ht="14.25">
      <c r="A18" s="103"/>
      <c r="B18" s="103"/>
    </row>
    <row r="19" spans="1:2" s="101" customFormat="1" ht="14.25">
      <c r="A19" s="103"/>
      <c r="B19" s="103"/>
    </row>
  </sheetData>
  <mergeCells count="10">
    <mergeCell ref="A11:D11"/>
    <mergeCell ref="A13:D13"/>
    <mergeCell ref="A14:D14"/>
    <mergeCell ref="A17:B17"/>
    <mergeCell ref="B2:D2"/>
    <mergeCell ref="A4:D4"/>
    <mergeCell ref="A5:D5"/>
    <mergeCell ref="B7:D7"/>
    <mergeCell ref="A8:D8"/>
    <mergeCell ref="A10:D10"/>
  </mergeCells>
  <hyperlinks>
    <hyperlink ref="A5" r:id="rId1" xr:uid="{0828E45D-CB37-4558-B6D1-AA9A92D4D509}"/>
    <hyperlink ref="A17:B17" location="Instructions!A1" display="Take me to the Instructions tab!" xr:uid="{F3314846-9CF9-4D4B-94CA-D0BCD80BE4C1}"/>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21F3A-41A1-4C06-BAE3-52D680EA41DD}">
  <sheetPr codeName="Sheet10">
    <tabColor rgb="FFDEC7C0"/>
  </sheetPr>
  <dimension ref="A1:Z68"/>
  <sheetViews>
    <sheetView showGridLines="0" zoomScaleNormal="100" workbookViewId="0">
      <selection activeCell="N4" sqref="N4"/>
    </sheetView>
  </sheetViews>
  <sheetFormatPr defaultColWidth="10.59765625" defaultRowHeight="12.75"/>
  <cols>
    <col min="1" max="1" width="7.46484375" style="16" customWidth="1"/>
    <col min="2" max="12" width="10.59765625" style="16"/>
    <col min="13" max="13" width="4.53125" style="16" customWidth="1"/>
    <col min="14" max="24" width="10.59765625" style="16"/>
    <col min="25" max="26" width="10.59765625" style="15"/>
    <col min="27" max="16384" width="10.59765625" style="16"/>
  </cols>
  <sheetData>
    <row r="1" spans="1:26">
      <c r="A1" s="286" t="s">
        <v>514</v>
      </c>
      <c r="B1" s="287"/>
      <c r="C1" s="287"/>
      <c r="D1" s="287"/>
      <c r="E1" s="287"/>
      <c r="F1" s="287"/>
      <c r="G1" s="287"/>
      <c r="H1" s="287"/>
      <c r="I1" s="287"/>
      <c r="J1" s="287"/>
      <c r="K1" s="287"/>
      <c r="L1" s="287"/>
      <c r="M1" s="288"/>
      <c r="N1" s="15"/>
      <c r="O1" s="15"/>
      <c r="P1" s="15"/>
      <c r="Q1" s="15"/>
      <c r="R1" s="15"/>
      <c r="S1" s="15"/>
      <c r="T1" s="15"/>
      <c r="U1" s="15"/>
      <c r="V1" s="15"/>
      <c r="W1" s="15"/>
      <c r="X1" s="15"/>
    </row>
    <row r="2" spans="1:26">
      <c r="A2" s="289"/>
      <c r="B2" s="290"/>
      <c r="C2" s="290"/>
      <c r="D2" s="290"/>
      <c r="E2" s="290"/>
      <c r="F2" s="290"/>
      <c r="G2" s="290"/>
      <c r="H2" s="290"/>
      <c r="I2" s="290"/>
      <c r="J2" s="290"/>
      <c r="K2" s="290"/>
      <c r="L2" s="290"/>
      <c r="M2" s="291"/>
      <c r="N2" s="15"/>
      <c r="O2" s="15"/>
      <c r="P2" s="15"/>
      <c r="Q2" s="15"/>
      <c r="R2" s="15"/>
      <c r="S2" s="15"/>
      <c r="T2" s="15"/>
      <c r="U2" s="15"/>
      <c r="V2" s="15"/>
      <c r="W2" s="15"/>
      <c r="X2" s="15"/>
    </row>
    <row r="3" spans="1:26">
      <c r="A3" s="17"/>
      <c r="M3" s="18"/>
      <c r="N3" s="15"/>
      <c r="O3" s="15"/>
      <c r="P3" s="15"/>
      <c r="Q3" s="15"/>
      <c r="R3" s="15"/>
      <c r="S3" s="15"/>
      <c r="T3" s="15"/>
      <c r="U3" s="15"/>
      <c r="V3" s="15"/>
      <c r="W3" s="15"/>
      <c r="X3" s="15"/>
    </row>
    <row r="4" spans="1:26" ht="30.75" customHeight="1">
      <c r="A4" s="279" t="s">
        <v>515</v>
      </c>
      <c r="B4" s="280"/>
      <c r="C4" s="280"/>
      <c r="D4" s="280"/>
      <c r="E4" s="280"/>
      <c r="F4" s="280"/>
      <c r="G4" s="280"/>
      <c r="H4" s="280"/>
      <c r="I4" s="280"/>
      <c r="J4" s="280"/>
      <c r="K4" s="280"/>
      <c r="L4" s="280"/>
      <c r="M4" s="280"/>
      <c r="N4" s="19"/>
      <c r="O4" s="15"/>
      <c r="P4" s="15"/>
      <c r="Q4" s="15"/>
      <c r="R4" s="15"/>
      <c r="S4" s="15"/>
      <c r="T4" s="15"/>
      <c r="U4" s="15"/>
      <c r="V4" s="15"/>
      <c r="W4" s="15"/>
      <c r="X4" s="15"/>
    </row>
    <row r="5" spans="1:26" ht="13.5">
      <c r="A5" s="111"/>
      <c r="B5" s="97"/>
      <c r="C5" s="97"/>
      <c r="D5" s="97"/>
      <c r="E5" s="97"/>
      <c r="F5" s="97"/>
      <c r="G5" s="97"/>
      <c r="H5" s="97"/>
      <c r="I5" s="97"/>
      <c r="J5" s="97"/>
      <c r="K5" s="97"/>
      <c r="L5" s="97"/>
      <c r="M5" s="20"/>
      <c r="N5" s="15"/>
      <c r="O5" s="15"/>
      <c r="P5" s="15"/>
      <c r="Q5" s="15"/>
      <c r="R5" s="15"/>
      <c r="S5" s="15"/>
      <c r="T5" s="15"/>
      <c r="U5" s="15"/>
      <c r="V5" s="15"/>
      <c r="W5" s="15"/>
      <c r="X5" s="15"/>
    </row>
    <row r="6" spans="1:26" ht="33.75" customHeight="1">
      <c r="A6" s="279" t="s">
        <v>488</v>
      </c>
      <c r="B6" s="280"/>
      <c r="C6" s="280"/>
      <c r="D6" s="280"/>
      <c r="E6" s="280"/>
      <c r="F6" s="280"/>
      <c r="G6" s="280"/>
      <c r="H6" s="280"/>
      <c r="I6" s="280"/>
      <c r="J6" s="280"/>
      <c r="K6" s="280"/>
      <c r="L6" s="280"/>
      <c r="M6" s="280"/>
      <c r="N6" s="19"/>
      <c r="O6" s="15"/>
      <c r="P6" s="15"/>
      <c r="Q6" s="15"/>
      <c r="R6" s="15"/>
      <c r="S6" s="15"/>
      <c r="T6" s="15"/>
      <c r="U6" s="15"/>
      <c r="V6" s="15"/>
      <c r="W6" s="15"/>
      <c r="X6" s="15"/>
    </row>
    <row r="7" spans="1:26" ht="13.5">
      <c r="A7" s="21"/>
      <c r="B7" s="22"/>
      <c r="C7" s="22"/>
      <c r="D7" s="22"/>
      <c r="E7" s="22"/>
      <c r="F7" s="22"/>
      <c r="G7" s="22"/>
      <c r="H7" s="22"/>
      <c r="I7" s="22"/>
      <c r="J7" s="22"/>
      <c r="K7" s="22"/>
      <c r="L7" s="22"/>
      <c r="M7" s="23"/>
      <c r="N7" s="15"/>
      <c r="O7" s="15"/>
      <c r="P7" s="15"/>
      <c r="Q7" s="15"/>
      <c r="R7" s="15"/>
      <c r="S7" s="15"/>
      <c r="T7" s="15"/>
      <c r="U7" s="15"/>
      <c r="V7" s="15"/>
      <c r="W7" s="15"/>
      <c r="X7" s="15"/>
    </row>
    <row r="8" spans="1:26" ht="13.5">
      <c r="A8" s="279" t="s">
        <v>23</v>
      </c>
      <c r="B8" s="280"/>
      <c r="C8" s="280"/>
      <c r="D8" s="280"/>
      <c r="E8" s="280"/>
      <c r="F8" s="280"/>
      <c r="G8" s="280"/>
      <c r="H8" s="280"/>
      <c r="I8" s="280"/>
      <c r="J8" s="280"/>
      <c r="K8" s="280"/>
      <c r="L8" s="280"/>
      <c r="M8" s="280"/>
      <c r="N8" s="19"/>
      <c r="O8" s="15"/>
      <c r="P8" s="15"/>
      <c r="Q8" s="15"/>
      <c r="R8" s="15"/>
      <c r="S8" s="15"/>
      <c r="T8" s="15"/>
      <c r="U8" s="15"/>
      <c r="V8" s="15"/>
      <c r="W8" s="15"/>
      <c r="X8" s="15"/>
    </row>
    <row r="9" spans="1:26" ht="13.5">
      <c r="A9" s="24"/>
      <c r="B9" s="25"/>
      <c r="C9" s="25"/>
      <c r="D9" s="25"/>
      <c r="E9" s="25"/>
      <c r="F9" s="25"/>
      <c r="G9" s="25"/>
      <c r="H9" s="25"/>
      <c r="I9" s="25"/>
      <c r="J9" s="25"/>
      <c r="K9" s="25"/>
      <c r="L9" s="25"/>
      <c r="M9" s="26"/>
      <c r="N9" s="15"/>
      <c r="O9" s="15"/>
      <c r="P9" s="15"/>
      <c r="Q9" s="15"/>
      <c r="R9" s="15"/>
      <c r="S9" s="15"/>
      <c r="T9" s="15"/>
      <c r="U9" s="15"/>
      <c r="V9" s="15"/>
      <c r="W9" s="15"/>
      <c r="X9" s="15"/>
    </row>
    <row r="10" spans="1:26" ht="74.25" customHeight="1">
      <c r="A10" s="21"/>
      <c r="B10" s="281" t="s">
        <v>516</v>
      </c>
      <c r="C10" s="281"/>
      <c r="D10" s="281"/>
      <c r="E10" s="281"/>
      <c r="F10" s="281"/>
      <c r="G10" s="281"/>
      <c r="H10" s="281"/>
      <c r="I10" s="281"/>
      <c r="J10" s="281"/>
      <c r="K10" s="281"/>
      <c r="L10" s="281"/>
      <c r="M10" s="292"/>
      <c r="N10" s="27"/>
      <c r="O10" s="15"/>
      <c r="P10" s="15"/>
      <c r="Q10" s="15"/>
      <c r="R10" s="15"/>
      <c r="S10" s="15"/>
      <c r="T10" s="15"/>
      <c r="U10" s="15"/>
      <c r="V10" s="15"/>
      <c r="W10" s="15"/>
      <c r="X10" s="15"/>
    </row>
    <row r="11" spans="1:26" ht="13.5">
      <c r="A11" s="21"/>
      <c r="B11" s="22"/>
      <c r="C11" s="22"/>
      <c r="D11" s="22"/>
      <c r="E11" s="22"/>
      <c r="F11" s="22"/>
      <c r="G11" s="22"/>
      <c r="H11" s="22"/>
      <c r="I11" s="22"/>
      <c r="J11" s="22"/>
      <c r="K11" s="22"/>
      <c r="L11" s="22"/>
      <c r="M11" s="23"/>
      <c r="N11" s="15"/>
      <c r="O11" s="15"/>
      <c r="P11" s="15"/>
      <c r="Q11" s="15"/>
      <c r="R11" s="15"/>
      <c r="S11" s="15"/>
      <c r="T11" s="15"/>
      <c r="U11" s="15"/>
      <c r="V11" s="15"/>
      <c r="W11" s="15"/>
      <c r="X11" s="15"/>
    </row>
    <row r="12" spans="1:26" ht="32.25" customHeight="1">
      <c r="A12" s="21"/>
      <c r="B12" s="284" t="s">
        <v>517</v>
      </c>
      <c r="C12" s="284"/>
      <c r="D12" s="284"/>
      <c r="E12" s="284"/>
      <c r="F12" s="284"/>
      <c r="G12" s="284"/>
      <c r="H12" s="284"/>
      <c r="I12" s="284"/>
      <c r="J12" s="284"/>
      <c r="K12" s="284"/>
      <c r="L12" s="284"/>
      <c r="M12" s="285"/>
      <c r="N12" s="15"/>
      <c r="O12" s="15"/>
      <c r="P12" s="15"/>
      <c r="Q12" s="15"/>
      <c r="R12" s="15"/>
      <c r="S12" s="15"/>
      <c r="T12" s="15"/>
      <c r="U12" s="15"/>
      <c r="V12" s="15"/>
      <c r="W12" s="15"/>
      <c r="X12" s="15"/>
    </row>
    <row r="13" spans="1:26" ht="13.5">
      <c r="A13" s="21"/>
      <c r="B13" s="22"/>
      <c r="C13" s="22"/>
      <c r="D13" s="22"/>
      <c r="E13" s="22"/>
      <c r="F13" s="22"/>
      <c r="G13" s="22"/>
      <c r="H13" s="22"/>
      <c r="I13" s="22"/>
      <c r="J13" s="22"/>
      <c r="K13" s="22"/>
      <c r="L13" s="22"/>
      <c r="M13" s="23"/>
      <c r="N13" s="15"/>
      <c r="O13" s="15"/>
      <c r="P13" s="15"/>
      <c r="Q13" s="15"/>
      <c r="R13" s="15"/>
      <c r="S13" s="15"/>
      <c r="T13" s="15"/>
      <c r="U13" s="15"/>
      <c r="V13" s="15"/>
      <c r="W13" s="15"/>
      <c r="X13" s="15"/>
    </row>
    <row r="14" spans="1:26" ht="13.5">
      <c r="A14" s="21"/>
      <c r="B14" s="281" t="s">
        <v>489</v>
      </c>
      <c r="C14" s="281"/>
      <c r="D14" s="281"/>
      <c r="E14" s="281"/>
      <c r="F14" s="281"/>
      <c r="G14" s="281"/>
      <c r="H14" s="281"/>
      <c r="I14" s="281"/>
      <c r="J14" s="281"/>
      <c r="K14" s="281"/>
      <c r="L14" s="281"/>
      <c r="M14" s="26"/>
      <c r="N14" s="28"/>
      <c r="O14" s="15"/>
      <c r="P14" s="15"/>
      <c r="Q14" s="15"/>
      <c r="R14" s="15"/>
      <c r="S14" s="15"/>
      <c r="T14" s="15"/>
      <c r="U14" s="15"/>
      <c r="V14" s="15"/>
      <c r="W14" s="15"/>
      <c r="X14" s="15"/>
    </row>
    <row r="15" spans="1:26" ht="13.5">
      <c r="A15" s="21"/>
      <c r="B15" s="22"/>
      <c r="C15" s="22"/>
      <c r="D15" s="22"/>
      <c r="E15" s="22"/>
      <c r="F15" s="22"/>
      <c r="G15" s="22"/>
      <c r="H15" s="22"/>
      <c r="I15" s="22"/>
      <c r="J15" s="22"/>
      <c r="K15" s="22"/>
      <c r="L15" s="22"/>
      <c r="M15" s="23"/>
      <c r="N15" s="15"/>
      <c r="O15" s="15"/>
      <c r="P15" s="15"/>
      <c r="Q15" s="15"/>
      <c r="R15" s="15"/>
      <c r="S15" s="15"/>
      <c r="T15" s="15"/>
      <c r="U15" s="15"/>
      <c r="V15" s="15"/>
      <c r="W15" s="15"/>
      <c r="X15" s="15"/>
    </row>
    <row r="16" spans="1:26" ht="47.25" customHeight="1">
      <c r="A16" s="21"/>
      <c r="B16" s="281" t="s">
        <v>518</v>
      </c>
      <c r="C16" s="281"/>
      <c r="D16" s="281"/>
      <c r="E16" s="281"/>
      <c r="F16" s="281"/>
      <c r="G16" s="281"/>
      <c r="H16" s="281"/>
      <c r="I16" s="281"/>
      <c r="J16" s="281"/>
      <c r="K16" s="281"/>
      <c r="L16" s="281"/>
      <c r="M16" s="23"/>
      <c r="N16" s="15"/>
      <c r="O16" s="28"/>
      <c r="P16" s="28"/>
      <c r="Q16" s="28"/>
      <c r="R16" s="28"/>
      <c r="S16" s="28"/>
      <c r="T16" s="28"/>
      <c r="U16" s="28"/>
      <c r="V16" s="28"/>
      <c r="W16" s="28"/>
      <c r="X16" s="28"/>
      <c r="Y16" s="28"/>
      <c r="Z16" s="28"/>
    </row>
    <row r="17" spans="1:24" ht="13.5">
      <c r="A17" s="21"/>
      <c r="B17" s="22"/>
      <c r="C17" s="22"/>
      <c r="D17" s="22"/>
      <c r="E17" s="22"/>
      <c r="F17" s="22"/>
      <c r="G17" s="22"/>
      <c r="H17" s="22"/>
      <c r="I17" s="22"/>
      <c r="J17" s="22"/>
      <c r="K17" s="22"/>
      <c r="L17" s="22"/>
      <c r="M17" s="23"/>
      <c r="N17" s="15"/>
      <c r="O17" s="15"/>
      <c r="P17" s="15"/>
      <c r="Q17" s="15"/>
      <c r="R17" s="15"/>
      <c r="S17" s="15"/>
      <c r="T17" s="15"/>
      <c r="U17" s="15"/>
      <c r="V17" s="15"/>
      <c r="W17" s="15"/>
      <c r="X17" s="15"/>
    </row>
    <row r="18" spans="1:24" ht="48" customHeight="1">
      <c r="A18" s="21"/>
      <c r="B18" s="282" t="s">
        <v>490</v>
      </c>
      <c r="C18" s="282"/>
      <c r="D18" s="282"/>
      <c r="E18" s="282"/>
      <c r="F18" s="282"/>
      <c r="G18" s="282"/>
      <c r="H18" s="282"/>
      <c r="I18" s="282"/>
      <c r="J18" s="282"/>
      <c r="K18" s="282"/>
      <c r="L18" s="282"/>
      <c r="M18" s="283"/>
      <c r="N18" s="15"/>
      <c r="O18" s="15"/>
      <c r="P18" s="15"/>
      <c r="Q18" s="15"/>
      <c r="R18" s="15"/>
      <c r="S18" s="15"/>
      <c r="T18" s="15"/>
      <c r="U18" s="15"/>
      <c r="V18" s="15"/>
      <c r="W18" s="15"/>
      <c r="X18" s="15"/>
    </row>
    <row r="19" spans="1:24" ht="13.5">
      <c r="A19" s="21"/>
      <c r="B19" s="22"/>
      <c r="C19" s="22"/>
      <c r="D19" s="22"/>
      <c r="E19" s="22"/>
      <c r="F19" s="22"/>
      <c r="G19" s="22"/>
      <c r="H19" s="22"/>
      <c r="I19" s="22"/>
      <c r="J19" s="22"/>
      <c r="K19" s="22"/>
      <c r="L19" s="22"/>
      <c r="M19" s="23"/>
      <c r="N19" s="15"/>
      <c r="O19" s="15"/>
      <c r="P19" s="15"/>
      <c r="Q19" s="15"/>
      <c r="R19" s="15"/>
      <c r="S19" s="15"/>
      <c r="T19" s="15"/>
      <c r="U19" s="15"/>
      <c r="V19" s="15"/>
      <c r="W19" s="15"/>
      <c r="X19" s="15"/>
    </row>
    <row r="20" spans="1:24" ht="33.75" customHeight="1">
      <c r="A20" s="21"/>
      <c r="B20" s="282" t="s">
        <v>519</v>
      </c>
      <c r="C20" s="282"/>
      <c r="D20" s="282"/>
      <c r="E20" s="282"/>
      <c r="F20" s="282"/>
      <c r="G20" s="282"/>
      <c r="H20" s="282"/>
      <c r="I20" s="282"/>
      <c r="J20" s="282"/>
      <c r="K20" s="282"/>
      <c r="L20" s="282"/>
      <c r="M20" s="26"/>
      <c r="N20" s="15"/>
      <c r="O20" s="15"/>
      <c r="P20" s="15"/>
      <c r="Q20" s="15"/>
      <c r="R20" s="15"/>
      <c r="S20" s="15"/>
      <c r="T20" s="15"/>
      <c r="U20" s="15"/>
      <c r="V20" s="15"/>
      <c r="W20" s="15"/>
      <c r="X20" s="15"/>
    </row>
    <row r="21" spans="1:24" ht="13.5">
      <c r="A21" s="21"/>
      <c r="B21" s="22"/>
      <c r="C21" s="22"/>
      <c r="D21" s="22"/>
      <c r="E21" s="22"/>
      <c r="F21" s="22"/>
      <c r="G21" s="22"/>
      <c r="H21" s="22"/>
      <c r="I21" s="22"/>
      <c r="J21" s="22"/>
      <c r="K21" s="22"/>
      <c r="L21" s="22"/>
      <c r="M21" s="23"/>
      <c r="N21" s="15"/>
      <c r="O21" s="15"/>
      <c r="P21" s="15"/>
      <c r="Q21" s="15"/>
      <c r="R21" s="15"/>
      <c r="S21" s="15"/>
      <c r="T21" s="15"/>
      <c r="U21" s="15"/>
      <c r="V21" s="15"/>
      <c r="W21" s="15"/>
      <c r="X21" s="15"/>
    </row>
    <row r="22" spans="1:24" ht="34.5" customHeight="1">
      <c r="A22" s="21"/>
      <c r="B22" s="282" t="s">
        <v>491</v>
      </c>
      <c r="C22" s="282"/>
      <c r="D22" s="282"/>
      <c r="E22" s="282"/>
      <c r="F22" s="282"/>
      <c r="G22" s="282"/>
      <c r="H22" s="282"/>
      <c r="I22" s="282"/>
      <c r="J22" s="282"/>
      <c r="K22" s="282"/>
      <c r="L22" s="282"/>
      <c r="M22" s="23"/>
      <c r="N22" s="15"/>
      <c r="O22" s="15"/>
      <c r="P22" s="15"/>
      <c r="Q22" s="15"/>
      <c r="R22" s="15"/>
      <c r="S22" s="15"/>
      <c r="T22" s="15"/>
      <c r="U22" s="15"/>
      <c r="V22" s="15"/>
      <c r="W22" s="15"/>
      <c r="X22" s="15"/>
    </row>
    <row r="23" spans="1:24" ht="13.5">
      <c r="A23" s="21"/>
      <c r="B23" s="22"/>
      <c r="C23" s="22"/>
      <c r="D23" s="22"/>
      <c r="E23" s="22"/>
      <c r="F23" s="22"/>
      <c r="G23" s="22"/>
      <c r="H23" s="22"/>
      <c r="I23" s="22"/>
      <c r="J23" s="22"/>
      <c r="K23" s="22"/>
      <c r="L23" s="22"/>
      <c r="M23" s="23"/>
      <c r="N23" s="15"/>
      <c r="O23" s="15"/>
      <c r="P23" s="15"/>
      <c r="Q23" s="15"/>
      <c r="R23" s="15"/>
      <c r="S23" s="15"/>
      <c r="T23" s="15"/>
      <c r="U23" s="15"/>
      <c r="V23" s="15"/>
      <c r="W23" s="15"/>
      <c r="X23" s="15"/>
    </row>
    <row r="24" spans="1:24" ht="33" customHeight="1">
      <c r="A24" s="21"/>
      <c r="B24" s="282" t="s">
        <v>520</v>
      </c>
      <c r="C24" s="282"/>
      <c r="D24" s="282"/>
      <c r="E24" s="282"/>
      <c r="F24" s="282"/>
      <c r="G24" s="282"/>
      <c r="H24" s="282"/>
      <c r="I24" s="282"/>
      <c r="J24" s="282"/>
      <c r="K24" s="282"/>
      <c r="L24" s="282"/>
      <c r="M24" s="26"/>
      <c r="N24" s="15"/>
      <c r="O24" s="15"/>
      <c r="P24" s="15"/>
      <c r="Q24" s="15"/>
      <c r="R24" s="15"/>
      <c r="S24" s="15"/>
      <c r="T24" s="15"/>
      <c r="U24" s="15"/>
      <c r="V24" s="15"/>
      <c r="W24" s="15"/>
      <c r="X24" s="15"/>
    </row>
    <row r="25" spans="1:24" ht="13.5">
      <c r="A25" s="21"/>
      <c r="B25" s="22"/>
      <c r="C25" s="22"/>
      <c r="D25" s="22"/>
      <c r="E25" s="22"/>
      <c r="F25" s="22"/>
      <c r="G25" s="22"/>
      <c r="H25" s="22"/>
      <c r="I25" s="22"/>
      <c r="J25" s="22"/>
      <c r="K25" s="22"/>
      <c r="L25" s="22"/>
      <c r="M25" s="23"/>
      <c r="N25" s="15"/>
      <c r="O25" s="15"/>
      <c r="P25" s="15"/>
      <c r="Q25" s="15"/>
      <c r="R25" s="15"/>
      <c r="S25" s="15"/>
      <c r="T25" s="15"/>
      <c r="U25" s="15"/>
      <c r="V25" s="15"/>
      <c r="W25" s="15"/>
      <c r="X25" s="15"/>
    </row>
    <row r="26" spans="1:24" ht="18" customHeight="1">
      <c r="A26" s="21"/>
      <c r="B26" s="282" t="s">
        <v>521</v>
      </c>
      <c r="C26" s="282"/>
      <c r="D26" s="282"/>
      <c r="E26" s="282"/>
      <c r="F26" s="282"/>
      <c r="G26" s="282"/>
      <c r="H26" s="282"/>
      <c r="I26" s="282"/>
      <c r="J26" s="282"/>
      <c r="K26" s="282"/>
      <c r="L26" s="282"/>
      <c r="M26" s="26"/>
      <c r="N26" s="28"/>
      <c r="O26" s="15"/>
      <c r="P26" s="15"/>
      <c r="Q26" s="15"/>
      <c r="R26" s="15"/>
      <c r="S26" s="15"/>
      <c r="T26" s="15"/>
      <c r="U26" s="15"/>
      <c r="V26" s="15"/>
      <c r="W26" s="15"/>
      <c r="X26" s="15"/>
    </row>
    <row r="27" spans="1:24" ht="13.5">
      <c r="A27" s="21"/>
      <c r="B27" s="22"/>
      <c r="C27" s="22"/>
      <c r="D27" s="22"/>
      <c r="E27" s="22"/>
      <c r="F27" s="22"/>
      <c r="G27" s="22"/>
      <c r="H27" s="22"/>
      <c r="I27" s="22"/>
      <c r="J27" s="22"/>
      <c r="K27" s="22"/>
      <c r="L27" s="22"/>
      <c r="M27" s="23"/>
      <c r="N27" s="15"/>
      <c r="O27" s="15"/>
      <c r="P27" s="15"/>
      <c r="Q27" s="15"/>
      <c r="R27" s="15"/>
      <c r="S27" s="15"/>
      <c r="T27" s="15"/>
      <c r="U27" s="15"/>
      <c r="V27" s="15"/>
      <c r="W27" s="15"/>
      <c r="X27" s="15"/>
    </row>
    <row r="28" spans="1:24" ht="48.75" customHeight="1">
      <c r="A28" s="21"/>
      <c r="B28" s="282" t="s">
        <v>522</v>
      </c>
      <c r="C28" s="282"/>
      <c r="D28" s="282"/>
      <c r="E28" s="282"/>
      <c r="F28" s="282"/>
      <c r="G28" s="282"/>
      <c r="H28" s="282"/>
      <c r="I28" s="282"/>
      <c r="J28" s="282"/>
      <c r="K28" s="282"/>
      <c r="L28" s="282"/>
      <c r="M28" s="26"/>
      <c r="N28" s="15"/>
      <c r="O28" s="15"/>
      <c r="P28" s="15"/>
      <c r="Q28" s="15"/>
      <c r="R28" s="15"/>
      <c r="S28" s="15"/>
      <c r="T28" s="15"/>
      <c r="U28" s="15"/>
      <c r="V28" s="15"/>
      <c r="W28" s="15"/>
      <c r="X28" s="15"/>
    </row>
    <row r="29" spans="1:24" ht="9" customHeight="1">
      <c r="A29" s="21"/>
      <c r="B29" s="112"/>
      <c r="C29" s="112"/>
      <c r="D29" s="112"/>
      <c r="E29" s="112"/>
      <c r="F29" s="112"/>
      <c r="G29" s="112"/>
      <c r="H29" s="112"/>
      <c r="I29" s="112"/>
      <c r="J29" s="112"/>
      <c r="K29" s="112"/>
      <c r="L29" s="112"/>
      <c r="M29" s="26"/>
      <c r="N29" s="15"/>
      <c r="O29" s="15"/>
      <c r="P29" s="15"/>
      <c r="Q29" s="15"/>
      <c r="R29" s="15"/>
      <c r="S29" s="15"/>
      <c r="T29" s="15"/>
      <c r="U29" s="15"/>
      <c r="V29" s="15"/>
      <c r="W29" s="15"/>
      <c r="X29" s="15"/>
    </row>
    <row r="30" spans="1:24" ht="60.75" customHeight="1">
      <c r="A30" s="21"/>
      <c r="B30" s="281" t="s">
        <v>523</v>
      </c>
      <c r="C30" s="281"/>
      <c r="D30" s="281"/>
      <c r="E30" s="281"/>
      <c r="F30" s="281"/>
      <c r="G30" s="281"/>
      <c r="H30" s="281"/>
      <c r="I30" s="281"/>
      <c r="J30" s="281"/>
      <c r="K30" s="281"/>
      <c r="L30" s="281"/>
      <c r="M30" s="26"/>
      <c r="N30" s="15"/>
      <c r="O30" s="15"/>
      <c r="P30" s="15"/>
      <c r="Q30" s="15"/>
      <c r="R30" s="15"/>
      <c r="S30" s="15"/>
      <c r="T30" s="15"/>
      <c r="U30" s="15"/>
      <c r="V30" s="15"/>
      <c r="W30" s="15"/>
      <c r="X30" s="15"/>
    </row>
    <row r="31" spans="1:24" ht="13.5">
      <c r="A31" s="21"/>
      <c r="B31" s="22"/>
      <c r="C31" s="22"/>
      <c r="D31" s="22"/>
      <c r="E31" s="22"/>
      <c r="F31" s="22"/>
      <c r="G31" s="22"/>
      <c r="H31" s="22"/>
      <c r="I31" s="22"/>
      <c r="J31" s="22"/>
      <c r="K31" s="22"/>
      <c r="L31" s="22"/>
      <c r="M31" s="23"/>
      <c r="N31" s="15"/>
      <c r="O31" s="15"/>
      <c r="P31" s="15"/>
      <c r="Q31" s="15"/>
      <c r="R31" s="15"/>
      <c r="S31" s="15"/>
      <c r="T31" s="15"/>
      <c r="U31" s="15"/>
      <c r="V31" s="15"/>
      <c r="W31" s="15"/>
      <c r="X31" s="15"/>
    </row>
    <row r="32" spans="1:24" ht="30.75" customHeight="1">
      <c r="A32" s="279" t="s">
        <v>24</v>
      </c>
      <c r="B32" s="280"/>
      <c r="C32" s="280"/>
      <c r="D32" s="280"/>
      <c r="E32" s="280"/>
      <c r="F32" s="280"/>
      <c r="G32" s="280"/>
      <c r="H32" s="280"/>
      <c r="I32" s="280"/>
      <c r="J32" s="280"/>
      <c r="K32" s="280"/>
      <c r="L32" s="280"/>
      <c r="M32" s="280"/>
      <c r="N32" s="19"/>
      <c r="O32" s="15"/>
      <c r="P32" s="15"/>
      <c r="Q32" s="15"/>
      <c r="R32" s="15"/>
      <c r="S32" s="15"/>
      <c r="T32" s="15"/>
      <c r="U32" s="15"/>
      <c r="V32" s="15"/>
      <c r="W32" s="15"/>
      <c r="X32" s="15"/>
    </row>
    <row r="33" spans="1:24" ht="10.5" customHeight="1">
      <c r="A33" s="113"/>
      <c r="B33" s="114"/>
      <c r="C33" s="114"/>
      <c r="D33" s="114"/>
      <c r="E33" s="114"/>
      <c r="F33" s="114"/>
      <c r="G33" s="114"/>
      <c r="H33" s="114"/>
      <c r="I33" s="114"/>
      <c r="J33" s="114"/>
      <c r="K33" s="114"/>
      <c r="L33" s="114"/>
      <c r="M33" s="114"/>
      <c r="N33" s="15"/>
      <c r="O33" s="15"/>
      <c r="P33" s="15"/>
      <c r="Q33" s="15"/>
      <c r="R33" s="15"/>
      <c r="S33" s="15"/>
      <c r="T33" s="15"/>
      <c r="U33" s="15"/>
      <c r="V33" s="15"/>
      <c r="W33" s="15"/>
      <c r="X33" s="15"/>
    </row>
    <row r="34" spans="1:24" ht="23.25" customHeight="1">
      <c r="A34" s="279" t="s">
        <v>492</v>
      </c>
      <c r="B34" s="280"/>
      <c r="C34" s="280"/>
      <c r="D34" s="280"/>
      <c r="E34" s="280"/>
      <c r="F34" s="280"/>
      <c r="G34" s="280"/>
      <c r="H34" s="280"/>
      <c r="I34" s="280"/>
      <c r="J34" s="280"/>
      <c r="K34" s="280"/>
      <c r="L34" s="280"/>
      <c r="M34" s="280"/>
      <c r="N34" s="15"/>
      <c r="O34" s="15"/>
      <c r="P34" s="15"/>
      <c r="Q34" s="15"/>
      <c r="R34" s="15"/>
      <c r="S34" s="15"/>
      <c r="T34" s="15"/>
      <c r="U34" s="15"/>
      <c r="V34" s="15"/>
      <c r="W34" s="15"/>
      <c r="X34" s="15"/>
    </row>
    <row r="35" spans="1:24" ht="9" customHeight="1">
      <c r="A35" s="113"/>
      <c r="B35" s="114"/>
      <c r="C35" s="114"/>
      <c r="D35" s="114"/>
      <c r="E35" s="114"/>
      <c r="F35" s="114"/>
      <c r="G35" s="114"/>
      <c r="H35" s="114"/>
      <c r="I35" s="114"/>
      <c r="J35" s="114"/>
      <c r="K35" s="114"/>
      <c r="L35" s="114"/>
      <c r="M35" s="114"/>
      <c r="N35" s="15"/>
      <c r="O35" s="15"/>
      <c r="P35" s="15"/>
      <c r="Q35" s="15"/>
      <c r="R35" s="15"/>
      <c r="S35" s="15"/>
      <c r="T35" s="15"/>
      <c r="U35" s="15"/>
      <c r="V35" s="15"/>
      <c r="W35" s="15"/>
      <c r="X35" s="15"/>
    </row>
    <row r="36" spans="1:24" ht="29.25" customHeight="1">
      <c r="A36" s="279" t="s">
        <v>524</v>
      </c>
      <c r="B36" s="280"/>
      <c r="C36" s="280"/>
      <c r="D36" s="280"/>
      <c r="E36" s="280"/>
      <c r="F36" s="280"/>
      <c r="G36" s="280"/>
      <c r="H36" s="280"/>
      <c r="I36" s="280"/>
      <c r="J36" s="280"/>
      <c r="K36" s="280"/>
      <c r="L36" s="280"/>
      <c r="M36" s="280"/>
      <c r="N36" s="15"/>
      <c r="O36" s="15"/>
      <c r="P36" s="15"/>
      <c r="Q36" s="15"/>
      <c r="R36" s="15"/>
      <c r="S36" s="15"/>
      <c r="T36" s="15"/>
      <c r="U36" s="15"/>
      <c r="V36" s="15"/>
      <c r="W36" s="15"/>
      <c r="X36" s="15"/>
    </row>
    <row r="37" spans="1:24">
      <c r="A37" s="15"/>
      <c r="B37" s="15"/>
      <c r="C37" s="15"/>
      <c r="D37" s="15"/>
      <c r="E37" s="15"/>
      <c r="F37" s="15"/>
      <c r="G37" s="15"/>
      <c r="H37" s="15"/>
      <c r="I37" s="15"/>
      <c r="J37" s="15"/>
      <c r="K37" s="15"/>
      <c r="L37" s="15"/>
      <c r="M37" s="15"/>
      <c r="N37" s="15"/>
      <c r="O37" s="15"/>
      <c r="P37" s="15"/>
      <c r="Q37" s="15"/>
      <c r="R37" s="15"/>
      <c r="S37" s="15"/>
      <c r="T37" s="15"/>
      <c r="U37" s="15"/>
      <c r="V37" s="15"/>
      <c r="W37" s="15"/>
      <c r="X37" s="15"/>
    </row>
    <row r="38" spans="1:24">
      <c r="A38" s="15"/>
      <c r="B38" s="15"/>
      <c r="C38" s="15"/>
      <c r="D38" s="15"/>
      <c r="E38" s="15"/>
      <c r="F38" s="15"/>
      <c r="G38" s="15"/>
      <c r="H38" s="15"/>
      <c r="I38" s="15"/>
      <c r="J38" s="15"/>
      <c r="K38" s="15"/>
      <c r="L38" s="15"/>
      <c r="M38" s="15"/>
      <c r="N38" s="15"/>
      <c r="O38" s="15"/>
      <c r="P38" s="15"/>
      <c r="Q38" s="15"/>
      <c r="R38" s="15"/>
      <c r="S38" s="15"/>
      <c r="T38" s="15"/>
      <c r="U38" s="15"/>
      <c r="V38" s="15"/>
      <c r="W38" s="15"/>
      <c r="X38" s="15"/>
    </row>
    <row r="39" spans="1:24">
      <c r="A39" s="15"/>
      <c r="B39" s="15"/>
      <c r="C39" s="15"/>
      <c r="D39" s="15"/>
      <c r="E39" s="15"/>
      <c r="F39" s="15"/>
      <c r="G39" s="15"/>
      <c r="H39" s="15"/>
      <c r="I39" s="15"/>
      <c r="J39" s="15"/>
      <c r="K39" s="15"/>
      <c r="L39" s="15"/>
      <c r="M39" s="15"/>
      <c r="N39" s="15"/>
      <c r="O39" s="15"/>
      <c r="P39" s="15"/>
      <c r="Q39" s="15"/>
      <c r="R39" s="15"/>
      <c r="S39" s="15"/>
      <c r="T39" s="15"/>
      <c r="U39" s="15"/>
      <c r="V39" s="15"/>
      <c r="W39" s="15"/>
      <c r="X39" s="15"/>
    </row>
    <row r="40" spans="1:24" s="15" customFormat="1"/>
    <row r="41" spans="1:24" s="15" customFormat="1"/>
    <row r="42" spans="1:24" s="15" customFormat="1"/>
    <row r="43" spans="1:24" s="15" customFormat="1"/>
    <row r="44" spans="1:24" s="15" customFormat="1"/>
    <row r="45" spans="1:24" s="15" customFormat="1"/>
    <row r="46" spans="1:24" s="15" customFormat="1"/>
    <row r="47" spans="1:24" s="15" customFormat="1"/>
    <row r="48" spans="1:24" s="15" customFormat="1"/>
    <row r="49" s="15" customFormat="1"/>
    <row r="50" s="15" customFormat="1"/>
    <row r="51" s="15" customFormat="1"/>
    <row r="52" s="15" customFormat="1"/>
    <row r="53" s="15" customFormat="1"/>
    <row r="54" s="15" customFormat="1"/>
    <row r="55" s="15" customFormat="1"/>
    <row r="56" s="15" customFormat="1"/>
    <row r="57" s="15" customFormat="1"/>
    <row r="58" s="15" customFormat="1"/>
    <row r="59" s="15" customFormat="1"/>
    <row r="60" s="15" customFormat="1"/>
    <row r="61" s="15" customFormat="1"/>
    <row r="62" s="15" customFormat="1"/>
    <row r="63" s="15" customFormat="1"/>
    <row r="64" s="15" customFormat="1"/>
    <row r="65" s="15" customFormat="1"/>
    <row r="66" s="15" customFormat="1"/>
    <row r="67" s="15" customFormat="1"/>
    <row r="68" s="15" customFormat="1"/>
  </sheetData>
  <mergeCells count="18">
    <mergeCell ref="B12:M12"/>
    <mergeCell ref="A1:M2"/>
    <mergeCell ref="A4:M4"/>
    <mergeCell ref="A6:M6"/>
    <mergeCell ref="A8:M8"/>
    <mergeCell ref="B10:M10"/>
    <mergeCell ref="A36:M36"/>
    <mergeCell ref="B14:L14"/>
    <mergeCell ref="B16:L16"/>
    <mergeCell ref="B18:M18"/>
    <mergeCell ref="B20:L20"/>
    <mergeCell ref="B22:L22"/>
    <mergeCell ref="B24:L24"/>
    <mergeCell ref="B26:L26"/>
    <mergeCell ref="B28:L28"/>
    <mergeCell ref="B30:L30"/>
    <mergeCell ref="A32:M32"/>
    <mergeCell ref="A34:M34"/>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A2CBF-A978-4624-8884-556E35C047DE}">
  <sheetPr codeName="Sheet1">
    <tabColor rgb="FFB7B7FF"/>
  </sheetPr>
  <dimension ref="A1:Q57"/>
  <sheetViews>
    <sheetView tabSelected="1" zoomScaleNormal="100" workbookViewId="0">
      <selection activeCell="B1" sqref="B1"/>
    </sheetView>
  </sheetViews>
  <sheetFormatPr defaultRowHeight="12.75"/>
  <cols>
    <col min="1" max="1" width="111.53125" bestFit="1" customWidth="1"/>
    <col min="2" max="2" width="10.33203125" customWidth="1"/>
    <col min="3" max="9" width="9.06640625" hidden="1" customWidth="1"/>
    <col min="10" max="10" width="13.06640625" style="9" hidden="1" customWidth="1"/>
    <col min="11" max="11" width="9.06640625" style="9" hidden="1" customWidth="1"/>
    <col min="12" max="16" width="9.06640625" hidden="1" customWidth="1"/>
    <col min="17" max="17" width="13.06640625" hidden="1" customWidth="1"/>
  </cols>
  <sheetData>
    <row r="1" spans="1:17" ht="150.75" customHeight="1" thickBot="1">
      <c r="A1" s="83" t="s">
        <v>508</v>
      </c>
      <c r="B1" s="14" t="s">
        <v>18</v>
      </c>
    </row>
    <row r="2" spans="1:17" ht="13.9">
      <c r="A2" s="86" t="s">
        <v>510</v>
      </c>
      <c r="B2" s="95" t="s">
        <v>509</v>
      </c>
      <c r="E2" s="7" t="s">
        <v>0</v>
      </c>
      <c r="F2" s="7" t="s">
        <v>1</v>
      </c>
      <c r="G2" s="7" t="s">
        <v>2</v>
      </c>
      <c r="H2" s="7" t="s">
        <v>3</v>
      </c>
      <c r="I2" s="7" t="s">
        <v>4</v>
      </c>
      <c r="J2" s="13" t="s">
        <v>16</v>
      </c>
      <c r="K2" s="7"/>
      <c r="L2" s="92"/>
      <c r="M2" s="92"/>
    </row>
    <row r="3" spans="1:17" ht="15" customHeight="1">
      <c r="A3" s="84" t="s">
        <v>195</v>
      </c>
      <c r="B3" s="5"/>
      <c r="C3" t="b">
        <v>0</v>
      </c>
      <c r="E3">
        <v>0</v>
      </c>
      <c r="F3">
        <v>0</v>
      </c>
      <c r="G3">
        <v>0</v>
      </c>
      <c r="H3">
        <f>IF(C3=FALSE,0,1)</f>
        <v>0</v>
      </c>
      <c r="I3">
        <v>0</v>
      </c>
      <c r="J3" s="9">
        <v>0</v>
      </c>
    </row>
    <row r="4" spans="1:17" ht="15" customHeight="1">
      <c r="A4" s="47" t="s">
        <v>196</v>
      </c>
      <c r="B4" s="5"/>
      <c r="C4" t="b">
        <v>0</v>
      </c>
      <c r="E4">
        <f>IF(C4=FALSE,0,1)</f>
        <v>0</v>
      </c>
      <c r="F4">
        <v>0</v>
      </c>
      <c r="G4">
        <v>0</v>
      </c>
      <c r="H4" s="4">
        <v>0</v>
      </c>
      <c r="I4">
        <v>0</v>
      </c>
      <c r="J4" s="9">
        <v>0</v>
      </c>
    </row>
    <row r="5" spans="1:17" ht="15" customHeight="1">
      <c r="A5" s="3" t="s">
        <v>197</v>
      </c>
      <c r="B5" s="6"/>
      <c r="C5" t="b">
        <v>0</v>
      </c>
      <c r="E5">
        <f>IF(C5=FALSE,0,1)</f>
        <v>0</v>
      </c>
      <c r="F5">
        <v>0</v>
      </c>
      <c r="G5">
        <v>0</v>
      </c>
      <c r="H5" s="12">
        <f>IF(C5=FALSE,0,1)</f>
        <v>0</v>
      </c>
      <c r="I5">
        <v>0</v>
      </c>
      <c r="J5" s="12">
        <v>0</v>
      </c>
    </row>
    <row r="6" spans="1:17" ht="15" customHeight="1">
      <c r="A6" s="85" t="s">
        <v>198</v>
      </c>
      <c r="B6" s="5"/>
      <c r="C6" t="b">
        <v>0</v>
      </c>
      <c r="E6">
        <v>0</v>
      </c>
      <c r="F6" s="12">
        <f>IF(C6=FALSE,0,1)</f>
        <v>0</v>
      </c>
      <c r="G6">
        <v>0</v>
      </c>
      <c r="H6" s="4">
        <v>0</v>
      </c>
      <c r="I6">
        <v>0</v>
      </c>
      <c r="J6" s="12">
        <v>0</v>
      </c>
    </row>
    <row r="7" spans="1:17" ht="15" customHeight="1">
      <c r="A7" s="47" t="s">
        <v>199</v>
      </c>
      <c r="B7" s="5"/>
      <c r="C7" t="b">
        <v>0</v>
      </c>
      <c r="E7">
        <v>0</v>
      </c>
      <c r="F7">
        <f>IF(C7=FALSE,0,1)</f>
        <v>0</v>
      </c>
      <c r="G7">
        <v>0</v>
      </c>
      <c r="H7">
        <v>0</v>
      </c>
      <c r="I7">
        <v>0</v>
      </c>
      <c r="J7" s="12">
        <v>0</v>
      </c>
    </row>
    <row r="8" spans="1:17" ht="15" customHeight="1">
      <c r="A8" s="85" t="s">
        <v>200</v>
      </c>
      <c r="B8" s="5"/>
      <c r="C8" t="b">
        <v>0</v>
      </c>
      <c r="E8">
        <v>0</v>
      </c>
      <c r="F8" s="4">
        <v>0</v>
      </c>
      <c r="G8" s="12">
        <f>IF(C8=FALSE,0,1)</f>
        <v>0</v>
      </c>
      <c r="H8">
        <v>0</v>
      </c>
      <c r="I8" s="12">
        <f>IF(C8=FALSE,0,1)</f>
        <v>0</v>
      </c>
      <c r="J8" s="12">
        <v>0</v>
      </c>
    </row>
    <row r="9" spans="1:17" s="12" customFormat="1" ht="15" customHeight="1">
      <c r="A9" s="47" t="s">
        <v>201</v>
      </c>
      <c r="B9" s="5"/>
      <c r="C9" s="12" t="b">
        <v>0</v>
      </c>
      <c r="E9" s="12">
        <v>0</v>
      </c>
      <c r="F9" s="12">
        <v>0</v>
      </c>
      <c r="G9" s="12">
        <v>0</v>
      </c>
      <c r="H9" s="12">
        <v>0</v>
      </c>
      <c r="I9" s="12">
        <f>IF(C9=FALSE,0,1)</f>
        <v>0</v>
      </c>
      <c r="J9" s="12">
        <v>0</v>
      </c>
      <c r="L9" s="7"/>
      <c r="M9" s="7"/>
      <c r="N9" s="7"/>
      <c r="O9" s="7"/>
      <c r="P9" s="7"/>
      <c r="Q9" s="13"/>
    </row>
    <row r="10" spans="1:17" s="12" customFormat="1" ht="15" customHeight="1">
      <c r="A10" s="47" t="s">
        <v>202</v>
      </c>
      <c r="B10" s="5"/>
      <c r="C10" s="12" t="b">
        <v>0</v>
      </c>
      <c r="E10" s="12">
        <v>0</v>
      </c>
      <c r="F10" s="12">
        <v>0</v>
      </c>
      <c r="G10" s="12">
        <f>IF(C10=FALSE,0,1)</f>
        <v>0</v>
      </c>
      <c r="H10" s="12">
        <v>0</v>
      </c>
      <c r="I10" s="12">
        <v>0</v>
      </c>
      <c r="J10" s="12">
        <v>0</v>
      </c>
      <c r="L10" s="7"/>
      <c r="M10" s="7"/>
      <c r="N10" s="7"/>
      <c r="O10" s="7"/>
      <c r="P10" s="7"/>
      <c r="Q10" s="13"/>
    </row>
    <row r="11" spans="1:17" s="12" customFormat="1" ht="15" customHeight="1">
      <c r="A11" s="47" t="s">
        <v>203</v>
      </c>
      <c r="B11" s="5"/>
      <c r="C11" s="12" t="b">
        <v>0</v>
      </c>
      <c r="E11" s="12">
        <v>0</v>
      </c>
      <c r="F11" s="12">
        <v>0</v>
      </c>
      <c r="G11" s="12">
        <v>0</v>
      </c>
      <c r="H11" s="12">
        <v>0</v>
      </c>
      <c r="I11" s="12">
        <v>0</v>
      </c>
      <c r="J11" s="12">
        <f>IF(C11=FALSE,0,1)</f>
        <v>0</v>
      </c>
      <c r="K11" s="9" t="s">
        <v>13</v>
      </c>
      <c r="L11" s="7" t="s">
        <v>0</v>
      </c>
      <c r="M11" s="7" t="s">
        <v>1</v>
      </c>
      <c r="N11" s="7" t="s">
        <v>2</v>
      </c>
      <c r="O11" s="7" t="s">
        <v>3</v>
      </c>
      <c r="P11" s="7" t="s">
        <v>4</v>
      </c>
      <c r="Q11" s="13" t="s">
        <v>16</v>
      </c>
    </row>
    <row r="12" spans="1:17" ht="12.75" hidden="1" customHeight="1">
      <c r="A12" s="88" t="s">
        <v>204</v>
      </c>
      <c r="D12" s="8" t="s">
        <v>13</v>
      </c>
      <c r="E12" s="8">
        <f>SUM(E3:E11)</f>
        <v>0</v>
      </c>
      <c r="F12" s="8">
        <f>SUM(F3:F11)</f>
        <v>0</v>
      </c>
      <c r="G12" s="8">
        <f>SUM(G3:G11)</f>
        <v>0</v>
      </c>
      <c r="H12" s="8">
        <f>SUM(H3:H11)</f>
        <v>0</v>
      </c>
      <c r="I12" s="8">
        <f t="shared" ref="I12:J12" si="0">SUM(I3:I11)</f>
        <v>0</v>
      </c>
      <c r="J12" s="8">
        <f t="shared" si="0"/>
        <v>0</v>
      </c>
      <c r="K12" s="8">
        <f>COUNTIF(C3:C11,TRUE)</f>
        <v>0</v>
      </c>
      <c r="L12">
        <f>IF(K12=0,0,IF(E12=K12,1,0))</f>
        <v>0</v>
      </c>
      <c r="M12" s="9">
        <f>IF(K12=0,0,IF(F12=K12,1,0))</f>
        <v>0</v>
      </c>
      <c r="N12" s="9">
        <f>IF(K12=0,0,IF(G12=K12,1,0))</f>
        <v>0</v>
      </c>
      <c r="O12" s="9">
        <f>IF(K12=0,0,IF(H12=K12,1,0))</f>
        <v>0</v>
      </c>
      <c r="P12" s="9">
        <f>IF(K12=0,0,IF(I12=K12,1,0))</f>
        <v>0</v>
      </c>
      <c r="Q12" s="12">
        <f>IF(K12=0,0,IF(J12=K12,1,0))</f>
        <v>0</v>
      </c>
    </row>
    <row r="13" spans="1:17" ht="15" hidden="1" customHeight="1">
      <c r="A13" s="85" t="s">
        <v>205</v>
      </c>
      <c r="C13" t="b">
        <v>0</v>
      </c>
      <c r="E13">
        <f>IF(C13=FALSE,0,1)</f>
        <v>0</v>
      </c>
      <c r="F13" s="4">
        <f>IF(C13=FALSE,0,1)</f>
        <v>0</v>
      </c>
      <c r="G13" s="4">
        <f>IF(C13=FALSE,0,1)</f>
        <v>0</v>
      </c>
      <c r="H13" s="4">
        <f>IF(C13=FALSE,0,1)</f>
        <v>0</v>
      </c>
      <c r="I13" s="4">
        <f>IF(C13=FALSE,0,1)</f>
        <v>0</v>
      </c>
      <c r="J13" s="12">
        <f>IF(C13=FALSE,0,1)</f>
        <v>0</v>
      </c>
      <c r="K13" s="9">
        <f>IF(K12&gt;2,1,0)</f>
        <v>0</v>
      </c>
    </row>
    <row r="14" spans="1:17" ht="15" hidden="1" customHeight="1">
      <c r="A14" s="85" t="s">
        <v>206</v>
      </c>
      <c r="C14" t="b">
        <v>0</v>
      </c>
      <c r="E14" s="4">
        <f t="shared" ref="E14:E17" si="1">IF(C14=FALSE,0,1)</f>
        <v>0</v>
      </c>
      <c r="F14" s="4">
        <f t="shared" ref="F14" si="2">IF(C14=FALSE,0,1)</f>
        <v>0</v>
      </c>
      <c r="G14" s="4">
        <v>0</v>
      </c>
      <c r="H14" s="4">
        <v>0</v>
      </c>
      <c r="I14" s="4">
        <v>0</v>
      </c>
      <c r="J14" s="12">
        <v>0</v>
      </c>
    </row>
    <row r="15" spans="1:17" ht="15" hidden="1" customHeight="1">
      <c r="A15" s="85" t="s">
        <v>207</v>
      </c>
      <c r="C15" t="b">
        <v>0</v>
      </c>
      <c r="E15" s="4">
        <f t="shared" si="1"/>
        <v>0</v>
      </c>
      <c r="F15" s="4">
        <v>0</v>
      </c>
      <c r="G15" s="4">
        <v>0</v>
      </c>
      <c r="H15" s="4">
        <v>0</v>
      </c>
      <c r="I15" s="4">
        <f t="shared" ref="I15" si="3">IF(C15=FALSE,0,1)</f>
        <v>0</v>
      </c>
      <c r="J15" s="12">
        <v>0</v>
      </c>
    </row>
    <row r="16" spans="1:17" s="12" customFormat="1" ht="15" hidden="1" customHeight="1">
      <c r="A16" s="85" t="s">
        <v>208</v>
      </c>
      <c r="C16" s="12" t="b">
        <v>0</v>
      </c>
      <c r="E16" s="12">
        <f t="shared" si="1"/>
        <v>0</v>
      </c>
      <c r="F16" s="12">
        <v>0</v>
      </c>
      <c r="G16" s="12">
        <v>0</v>
      </c>
      <c r="H16" s="12">
        <v>0</v>
      </c>
      <c r="I16" s="12">
        <v>0</v>
      </c>
      <c r="J16" s="12">
        <v>0</v>
      </c>
    </row>
    <row r="17" spans="1:11" s="12" customFormat="1" ht="15" hidden="1" customHeight="1">
      <c r="A17" s="85" t="s">
        <v>209</v>
      </c>
      <c r="C17" s="12" t="b">
        <v>0</v>
      </c>
      <c r="E17" s="12">
        <f t="shared" si="1"/>
        <v>0</v>
      </c>
      <c r="F17" s="12">
        <v>0</v>
      </c>
      <c r="G17" s="12">
        <v>0</v>
      </c>
      <c r="H17" s="12">
        <v>0</v>
      </c>
      <c r="I17" s="12">
        <v>0</v>
      </c>
      <c r="J17" s="12">
        <v>0</v>
      </c>
    </row>
    <row r="18" spans="1:11" ht="13.9" hidden="1">
      <c r="A18" s="87" t="s">
        <v>5</v>
      </c>
      <c r="D18" s="8" t="s">
        <v>13</v>
      </c>
      <c r="E18" s="8">
        <f>SUM(E13:E17)</f>
        <v>0</v>
      </c>
      <c r="F18" s="8">
        <f t="shared" ref="F18:J18" si="4">SUM(F13:F17)</f>
        <v>0</v>
      </c>
      <c r="G18" s="8">
        <f t="shared" si="4"/>
        <v>0</v>
      </c>
      <c r="H18" s="8">
        <f t="shared" si="4"/>
        <v>0</v>
      </c>
      <c r="I18" s="8">
        <f t="shared" si="4"/>
        <v>0</v>
      </c>
      <c r="J18" s="8">
        <f t="shared" si="4"/>
        <v>0</v>
      </c>
      <c r="K18" s="8"/>
    </row>
    <row r="19" spans="1:11" ht="15" hidden="1" customHeight="1">
      <c r="A19" s="1" t="s">
        <v>210</v>
      </c>
      <c r="C19" t="b">
        <v>0</v>
      </c>
      <c r="E19">
        <f>IF(C19=FALSE,0,1)</f>
        <v>0</v>
      </c>
      <c r="F19">
        <v>0</v>
      </c>
      <c r="G19">
        <v>0</v>
      </c>
      <c r="H19" s="11">
        <f>IF(C19=FALSE,0,1)</f>
        <v>0</v>
      </c>
      <c r="I19">
        <v>0</v>
      </c>
      <c r="J19" s="9">
        <v>0</v>
      </c>
    </row>
    <row r="20" spans="1:11" ht="15" hidden="1" customHeight="1">
      <c r="A20" s="10" t="s">
        <v>211</v>
      </c>
      <c r="C20" t="b">
        <v>0</v>
      </c>
      <c r="E20" s="12">
        <f>IF(C20=FALSE,0,1)</f>
        <v>0</v>
      </c>
      <c r="F20">
        <v>0</v>
      </c>
      <c r="G20">
        <v>0</v>
      </c>
      <c r="H20">
        <f>IF(C20=FALSE,0,1)</f>
        <v>0</v>
      </c>
      <c r="I20">
        <v>0</v>
      </c>
      <c r="J20" s="9">
        <v>0</v>
      </c>
    </row>
    <row r="21" spans="1:11" ht="15" hidden="1" customHeight="1">
      <c r="A21" s="10" t="s">
        <v>212</v>
      </c>
      <c r="C21" t="b">
        <v>0</v>
      </c>
      <c r="E21">
        <v>0</v>
      </c>
      <c r="F21">
        <v>0</v>
      </c>
      <c r="G21" s="4">
        <f>IF(C21=FALSE,0,1)</f>
        <v>0</v>
      </c>
      <c r="H21" s="11">
        <f t="shared" ref="H21:H22" si="5">IF(C21=FALSE,0,1)</f>
        <v>0</v>
      </c>
      <c r="I21">
        <v>0</v>
      </c>
      <c r="J21" s="12">
        <v>0</v>
      </c>
    </row>
    <row r="22" spans="1:11" ht="15" hidden="1" customHeight="1">
      <c r="A22" s="2" t="s">
        <v>213</v>
      </c>
      <c r="C22" t="b">
        <v>0</v>
      </c>
      <c r="E22">
        <v>0</v>
      </c>
      <c r="F22">
        <f>IF(C22=FALSE,0,1)</f>
        <v>0</v>
      </c>
      <c r="G22">
        <v>0</v>
      </c>
      <c r="H22" s="11">
        <f t="shared" si="5"/>
        <v>0</v>
      </c>
      <c r="I22">
        <v>0</v>
      </c>
      <c r="J22" s="9">
        <v>0</v>
      </c>
    </row>
    <row r="23" spans="1:11" ht="15" hidden="1" customHeight="1">
      <c r="A23" s="1" t="s">
        <v>214</v>
      </c>
      <c r="C23" t="b">
        <v>0</v>
      </c>
      <c r="E23">
        <v>0</v>
      </c>
      <c r="F23">
        <v>0</v>
      </c>
      <c r="G23">
        <v>0</v>
      </c>
      <c r="H23">
        <v>0</v>
      </c>
      <c r="I23" s="4">
        <f>IF(C23=FALSE,0,1)</f>
        <v>0</v>
      </c>
      <c r="J23" s="12">
        <v>0</v>
      </c>
    </row>
    <row r="24" spans="1:11" s="12" customFormat="1" ht="15" hidden="1" customHeight="1">
      <c r="A24" s="1" t="s">
        <v>215</v>
      </c>
      <c r="C24" s="12" t="b">
        <v>0</v>
      </c>
      <c r="E24" s="12">
        <v>0</v>
      </c>
      <c r="F24" s="12">
        <v>0</v>
      </c>
      <c r="G24" s="12">
        <v>0</v>
      </c>
      <c r="H24" s="12">
        <v>0</v>
      </c>
      <c r="I24" s="12">
        <v>0</v>
      </c>
      <c r="J24" s="12">
        <f>IF(C24=FALSE,0,1)</f>
        <v>0</v>
      </c>
    </row>
    <row r="25" spans="1:11" ht="15" hidden="1" customHeight="1">
      <c r="A25" s="89" t="s">
        <v>216</v>
      </c>
      <c r="D25" s="8" t="s">
        <v>13</v>
      </c>
      <c r="E25" s="8">
        <f t="shared" ref="E25:J25" si="6">SUM(E19:E24)</f>
        <v>0</v>
      </c>
      <c r="F25" s="8">
        <f t="shared" si="6"/>
        <v>0</v>
      </c>
      <c r="G25" s="8">
        <f t="shared" si="6"/>
        <v>0</v>
      </c>
      <c r="H25" s="8">
        <f t="shared" si="6"/>
        <v>0</v>
      </c>
      <c r="I25" s="8">
        <f t="shared" si="6"/>
        <v>0</v>
      </c>
      <c r="J25" s="8">
        <f t="shared" si="6"/>
        <v>0</v>
      </c>
      <c r="K25" s="8"/>
    </row>
    <row r="26" spans="1:11" ht="15" hidden="1" customHeight="1">
      <c r="A26" s="2" t="s">
        <v>6</v>
      </c>
      <c r="C26" t="b">
        <v>0</v>
      </c>
      <c r="E26">
        <f>IF(C26=FALSE,0,1)</f>
        <v>0</v>
      </c>
      <c r="F26" s="4">
        <f>IF(C26=FALSE,0,1)</f>
        <v>0</v>
      </c>
      <c r="G26" s="4">
        <f>IF(C26=FALSE,0,1)</f>
        <v>0</v>
      </c>
      <c r="H26" s="4">
        <f>IF(C26=FALSE,0,1)</f>
        <v>0</v>
      </c>
      <c r="I26" s="4">
        <f>IF(C26=FALSE,0,1)</f>
        <v>0</v>
      </c>
      <c r="J26" s="9">
        <f>IF(C26=FALSE,0,1)</f>
        <v>0</v>
      </c>
    </row>
    <row r="27" spans="1:11" ht="15" hidden="1" customHeight="1">
      <c r="A27" s="2" t="s">
        <v>7</v>
      </c>
      <c r="C27" t="b">
        <v>0</v>
      </c>
      <c r="E27" s="4">
        <f t="shared" ref="E27:E32" si="7">IF(C27=FALSE,0,1)</f>
        <v>0</v>
      </c>
      <c r="F27" s="4">
        <f t="shared" ref="F27:F32" si="8">IF(C27=FALSE,0,1)</f>
        <v>0</v>
      </c>
      <c r="G27" s="4">
        <f t="shared" ref="G27:G33" si="9">IF(C27=FALSE,0,1)</f>
        <v>0</v>
      </c>
      <c r="H27" s="4">
        <f t="shared" ref="H27:H31" si="10">IF(C27=FALSE,0,1)</f>
        <v>0</v>
      </c>
      <c r="I27" s="4">
        <f t="shared" ref="I27:I33" si="11">IF(C27=FALSE,0,1)</f>
        <v>0</v>
      </c>
      <c r="J27" s="12">
        <f t="shared" ref="J27:J33" si="12">IF(C27=FALSE,0,1)</f>
        <v>0</v>
      </c>
    </row>
    <row r="28" spans="1:11" ht="15" hidden="1" customHeight="1">
      <c r="A28" s="2" t="s">
        <v>8</v>
      </c>
      <c r="C28" t="b">
        <v>0</v>
      </c>
      <c r="E28" s="4">
        <f t="shared" si="7"/>
        <v>0</v>
      </c>
      <c r="F28" s="4">
        <f t="shared" si="8"/>
        <v>0</v>
      </c>
      <c r="G28" s="4">
        <f t="shared" si="9"/>
        <v>0</v>
      </c>
      <c r="H28" s="4">
        <f t="shared" si="10"/>
        <v>0</v>
      </c>
      <c r="I28" s="4">
        <f t="shared" si="11"/>
        <v>0</v>
      </c>
      <c r="J28" s="12">
        <f t="shared" si="12"/>
        <v>0</v>
      </c>
    </row>
    <row r="29" spans="1:11" ht="15" hidden="1" customHeight="1">
      <c r="A29" s="2" t="s">
        <v>9</v>
      </c>
      <c r="C29" t="b">
        <v>0</v>
      </c>
      <c r="E29" s="4">
        <f t="shared" si="7"/>
        <v>0</v>
      </c>
      <c r="F29" s="4">
        <f t="shared" si="8"/>
        <v>0</v>
      </c>
      <c r="G29" s="4">
        <f t="shared" si="9"/>
        <v>0</v>
      </c>
      <c r="H29" s="4">
        <f t="shared" si="10"/>
        <v>0</v>
      </c>
      <c r="I29" s="4">
        <f t="shared" si="11"/>
        <v>0</v>
      </c>
      <c r="J29" s="12">
        <f t="shared" si="12"/>
        <v>0</v>
      </c>
    </row>
    <row r="30" spans="1:11" ht="15" hidden="1" customHeight="1">
      <c r="A30" s="2" t="s">
        <v>10</v>
      </c>
      <c r="C30" t="b">
        <v>0</v>
      </c>
      <c r="E30" s="4">
        <f t="shared" si="7"/>
        <v>0</v>
      </c>
      <c r="F30" s="4">
        <f t="shared" si="8"/>
        <v>0</v>
      </c>
      <c r="G30" s="4">
        <f t="shared" si="9"/>
        <v>0</v>
      </c>
      <c r="H30" s="4">
        <f t="shared" si="10"/>
        <v>0</v>
      </c>
      <c r="I30" s="4">
        <f t="shared" si="11"/>
        <v>0</v>
      </c>
      <c r="J30" s="12">
        <f t="shared" si="12"/>
        <v>0</v>
      </c>
    </row>
    <row r="31" spans="1:11" ht="15" hidden="1" customHeight="1">
      <c r="A31" s="2" t="s">
        <v>17</v>
      </c>
      <c r="C31" t="b">
        <v>0</v>
      </c>
      <c r="E31" s="4">
        <f t="shared" si="7"/>
        <v>0</v>
      </c>
      <c r="F31" s="4">
        <f t="shared" si="8"/>
        <v>0</v>
      </c>
      <c r="G31" s="4">
        <f t="shared" si="9"/>
        <v>0</v>
      </c>
      <c r="H31" s="4">
        <f t="shared" si="10"/>
        <v>0</v>
      </c>
      <c r="I31" s="4">
        <f t="shared" si="11"/>
        <v>0</v>
      </c>
      <c r="J31" s="12">
        <f t="shared" si="12"/>
        <v>0</v>
      </c>
    </row>
    <row r="32" spans="1:11" ht="15" hidden="1" customHeight="1">
      <c r="A32" s="2" t="s">
        <v>11</v>
      </c>
      <c r="C32" t="b">
        <v>0</v>
      </c>
      <c r="E32" s="4">
        <f t="shared" si="7"/>
        <v>0</v>
      </c>
      <c r="F32" s="4">
        <f t="shared" si="8"/>
        <v>0</v>
      </c>
      <c r="G32" s="4">
        <v>0</v>
      </c>
      <c r="H32" s="4">
        <v>0</v>
      </c>
      <c r="I32" s="4">
        <f t="shared" si="11"/>
        <v>0</v>
      </c>
      <c r="J32" s="12">
        <f t="shared" si="12"/>
        <v>0</v>
      </c>
    </row>
    <row r="33" spans="1:11" ht="15" hidden="1" customHeight="1">
      <c r="A33" s="2" t="s">
        <v>12</v>
      </c>
      <c r="C33" t="b">
        <v>0</v>
      </c>
      <c r="E33">
        <v>0</v>
      </c>
      <c r="F33">
        <v>0</v>
      </c>
      <c r="G33" s="4">
        <f t="shared" si="9"/>
        <v>0</v>
      </c>
      <c r="H33" s="4">
        <v>0</v>
      </c>
      <c r="I33" s="4">
        <f t="shared" si="11"/>
        <v>0</v>
      </c>
      <c r="J33" s="12">
        <f t="shared" si="12"/>
        <v>0</v>
      </c>
    </row>
    <row r="34" spans="1:11" ht="13.9">
      <c r="A34" s="86" t="s">
        <v>193</v>
      </c>
      <c r="D34" s="8" t="s">
        <v>13</v>
      </c>
      <c r="E34" s="8">
        <f>SUM(E26:E33)</f>
        <v>0</v>
      </c>
      <c r="F34" s="8">
        <f t="shared" ref="F34:J34" si="13">SUM(F26:F33)</f>
        <v>0</v>
      </c>
      <c r="G34" s="8">
        <f t="shared" si="13"/>
        <v>0</v>
      </c>
      <c r="H34" s="8">
        <f t="shared" si="13"/>
        <v>0</v>
      </c>
      <c r="I34" s="8">
        <f t="shared" si="13"/>
        <v>0</v>
      </c>
      <c r="J34" s="8">
        <f t="shared" si="13"/>
        <v>0</v>
      </c>
      <c r="K34" s="8"/>
    </row>
    <row r="35" spans="1:11">
      <c r="A35" s="90" t="s">
        <v>29</v>
      </c>
      <c r="C35" t="b">
        <v>0</v>
      </c>
      <c r="D35" s="8" t="s">
        <v>14</v>
      </c>
      <c r="E35" s="8">
        <f t="shared" ref="E35:J35" si="14">IF(L12=1,(E12 + E18 + E25 + E34),0)</f>
        <v>0</v>
      </c>
      <c r="F35" s="8">
        <f t="shared" si="14"/>
        <v>0</v>
      </c>
      <c r="G35" s="8">
        <f t="shared" si="14"/>
        <v>0</v>
      </c>
      <c r="H35" s="8">
        <f t="shared" si="14"/>
        <v>0</v>
      </c>
      <c r="I35" s="8">
        <f t="shared" si="14"/>
        <v>0</v>
      </c>
      <c r="J35" s="8">
        <f t="shared" si="14"/>
        <v>0</v>
      </c>
      <c r="K35" s="8"/>
    </row>
    <row r="36" spans="1:11">
      <c r="A36" s="90" t="s">
        <v>218</v>
      </c>
      <c r="C36" t="b">
        <v>0</v>
      </c>
      <c r="D36" t="s">
        <v>15</v>
      </c>
      <c r="E36">
        <v>1</v>
      </c>
      <c r="F36">
        <v>3</v>
      </c>
      <c r="G36">
        <v>3</v>
      </c>
      <c r="H36">
        <v>2</v>
      </c>
      <c r="I36">
        <v>3</v>
      </c>
      <c r="J36" s="9">
        <v>3</v>
      </c>
    </row>
    <row r="37" spans="1:11" ht="15" customHeight="1">
      <c r="A37" s="90" t="s">
        <v>40</v>
      </c>
      <c r="C37" t="b">
        <v>0</v>
      </c>
      <c r="E37" s="7"/>
      <c r="F37" s="7"/>
      <c r="G37" s="7"/>
      <c r="H37" s="7"/>
      <c r="I37" s="7"/>
      <c r="J37" s="13"/>
    </row>
    <row r="38" spans="1:11" ht="15" customHeight="1">
      <c r="A38" s="90" t="s">
        <v>217</v>
      </c>
      <c r="C38" t="b">
        <v>0</v>
      </c>
    </row>
    <row r="39" spans="1:11" ht="15" customHeight="1">
      <c r="A39" s="90" t="s">
        <v>219</v>
      </c>
      <c r="C39" t="b">
        <v>0</v>
      </c>
    </row>
    <row r="40" spans="1:11" ht="15" customHeight="1">
      <c r="A40" s="90" t="s">
        <v>728</v>
      </c>
      <c r="C40" t="b">
        <v>0</v>
      </c>
    </row>
    <row r="41" spans="1:11" ht="15" customHeight="1">
      <c r="A41" s="90" t="s">
        <v>194</v>
      </c>
      <c r="C41" t="b">
        <v>0</v>
      </c>
    </row>
    <row r="42" spans="1:11" ht="15" customHeight="1"/>
    <row r="43" spans="1:11" ht="15" customHeight="1"/>
    <row r="46" spans="1:11" hidden="1"/>
    <row r="47" spans="1:11" hidden="1"/>
    <row r="48" spans="1:11" hidden="1"/>
    <row r="54" spans="1:1" ht="13.15">
      <c r="A54" s="96" t="s">
        <v>220</v>
      </c>
    </row>
    <row r="57" spans="1:1">
      <c r="A57" s="91"/>
    </row>
  </sheetData>
  <conditionalFormatting sqref="H3">
    <cfRule type="expression" dxfId="35" priority="36">
      <formula>$C3=TRUE+$A$3</formula>
    </cfRule>
  </conditionalFormatting>
  <conditionalFormatting sqref="A3">
    <cfRule type="expression" dxfId="34" priority="35">
      <formula>$C3=TRUE</formula>
    </cfRule>
  </conditionalFormatting>
  <conditionalFormatting sqref="A4">
    <cfRule type="expression" dxfId="33" priority="34">
      <formula>$C4=TRUE</formula>
    </cfRule>
  </conditionalFormatting>
  <conditionalFormatting sqref="A5">
    <cfRule type="expression" dxfId="32" priority="33">
      <formula>$C5=TRUE</formula>
    </cfRule>
  </conditionalFormatting>
  <conditionalFormatting sqref="A6">
    <cfRule type="expression" dxfId="31" priority="32">
      <formula>$C6=TRUE</formula>
    </cfRule>
  </conditionalFormatting>
  <conditionalFormatting sqref="A7">
    <cfRule type="expression" dxfId="30" priority="31">
      <formula>$C7=TRUE</formula>
    </cfRule>
  </conditionalFormatting>
  <conditionalFormatting sqref="A8">
    <cfRule type="expression" dxfId="29" priority="30">
      <formula>$C8=TRUE</formula>
    </cfRule>
  </conditionalFormatting>
  <conditionalFormatting sqref="A9">
    <cfRule type="expression" dxfId="28" priority="29">
      <formula>$C9=TRUE</formula>
    </cfRule>
  </conditionalFormatting>
  <conditionalFormatting sqref="A10">
    <cfRule type="expression" dxfId="27" priority="28">
      <formula>$C10=TRUE</formula>
    </cfRule>
  </conditionalFormatting>
  <conditionalFormatting sqref="A11">
    <cfRule type="expression" dxfId="26" priority="27">
      <formula>$C11=TRUE</formula>
    </cfRule>
  </conditionalFormatting>
  <conditionalFormatting sqref="A13">
    <cfRule type="expression" dxfId="25" priority="26">
      <formula>$C13=TRUE</formula>
    </cfRule>
  </conditionalFormatting>
  <conditionalFormatting sqref="A14">
    <cfRule type="expression" dxfId="24" priority="25">
      <formula>$C14=TRUE</formula>
    </cfRule>
  </conditionalFormatting>
  <conditionalFormatting sqref="A15">
    <cfRule type="expression" dxfId="23" priority="24">
      <formula>$C15=TRUE</formula>
    </cfRule>
  </conditionalFormatting>
  <conditionalFormatting sqref="A16">
    <cfRule type="expression" dxfId="22" priority="23">
      <formula>$C16=TRUE</formula>
    </cfRule>
  </conditionalFormatting>
  <conditionalFormatting sqref="A17">
    <cfRule type="expression" dxfId="21" priority="22">
      <formula>$C17=TRUE</formula>
    </cfRule>
  </conditionalFormatting>
  <conditionalFormatting sqref="A19">
    <cfRule type="expression" dxfId="20" priority="21">
      <formula>$C19=TRUE</formula>
    </cfRule>
  </conditionalFormatting>
  <conditionalFormatting sqref="A20">
    <cfRule type="expression" dxfId="19" priority="20">
      <formula>$C20=TRUE</formula>
    </cfRule>
  </conditionalFormatting>
  <conditionalFormatting sqref="A21">
    <cfRule type="expression" dxfId="18" priority="19">
      <formula>$C21=TRUE</formula>
    </cfRule>
  </conditionalFormatting>
  <conditionalFormatting sqref="A22">
    <cfRule type="expression" dxfId="17" priority="18">
      <formula>$C22=TRUE</formula>
    </cfRule>
  </conditionalFormatting>
  <conditionalFormatting sqref="A23">
    <cfRule type="expression" dxfId="16" priority="17">
      <formula>$C23=TRUE</formula>
    </cfRule>
  </conditionalFormatting>
  <conditionalFormatting sqref="A24">
    <cfRule type="expression" dxfId="15" priority="16">
      <formula>$C24=TRUE</formula>
    </cfRule>
  </conditionalFormatting>
  <conditionalFormatting sqref="A26">
    <cfRule type="expression" dxfId="14" priority="15">
      <formula>$C26=TRUE</formula>
    </cfRule>
  </conditionalFormatting>
  <conditionalFormatting sqref="A27">
    <cfRule type="expression" dxfId="13" priority="14">
      <formula>$C27=TRUE</formula>
    </cfRule>
  </conditionalFormatting>
  <conditionalFormatting sqref="A28">
    <cfRule type="expression" dxfId="12" priority="13">
      <formula>$C28=TRUE</formula>
    </cfRule>
  </conditionalFormatting>
  <conditionalFormatting sqref="A29">
    <cfRule type="expression" dxfId="11" priority="12">
      <formula>$C29=TRUE</formula>
    </cfRule>
  </conditionalFormatting>
  <conditionalFormatting sqref="A30">
    <cfRule type="expression" dxfId="10" priority="11">
      <formula>$C30=TRUE</formula>
    </cfRule>
  </conditionalFormatting>
  <conditionalFormatting sqref="A31">
    <cfRule type="expression" dxfId="9" priority="10">
      <formula>$C31=TRUE</formula>
    </cfRule>
  </conditionalFormatting>
  <conditionalFormatting sqref="A32">
    <cfRule type="expression" dxfId="8" priority="9">
      <formula>$C32=TRUE</formula>
    </cfRule>
  </conditionalFormatting>
  <conditionalFormatting sqref="A33">
    <cfRule type="expression" dxfId="7" priority="8">
      <formula>$C33=TRUE</formula>
    </cfRule>
  </conditionalFormatting>
  <conditionalFormatting sqref="A35">
    <cfRule type="expression" dxfId="6" priority="7">
      <formula>$C35=TRUE</formula>
    </cfRule>
  </conditionalFormatting>
  <conditionalFormatting sqref="A36">
    <cfRule type="expression" dxfId="5" priority="6">
      <formula>$C36=TRUE</formula>
    </cfRule>
  </conditionalFormatting>
  <conditionalFormatting sqref="A37">
    <cfRule type="expression" dxfId="4" priority="5">
      <formula>$C37=TRUE</formula>
    </cfRule>
  </conditionalFormatting>
  <conditionalFormatting sqref="A38">
    <cfRule type="expression" dxfId="3" priority="4">
      <formula>$C38=TRUE</formula>
    </cfRule>
  </conditionalFormatting>
  <conditionalFormatting sqref="A39">
    <cfRule type="expression" dxfId="2" priority="3">
      <formula>$C39=TRUE</formula>
    </cfRule>
  </conditionalFormatting>
  <conditionalFormatting sqref="A40">
    <cfRule type="expression" dxfId="1" priority="2">
      <formula>$C40=TRUE</formula>
    </cfRule>
  </conditionalFormatting>
  <conditionalFormatting sqref="A41">
    <cfRule type="expression" dxfId="0" priority="1">
      <formula>$C41=TRUE</formula>
    </cfRule>
  </conditionalFormatting>
  <pageMargins left="0.7" right="0.7" top="0.75" bottom="0.75" header="0.3" footer="0.3"/>
  <pageSetup orientation="portrait" r:id="rId1"/>
  <ignoredErrors>
    <ignoredError sqref="E18 J12 J2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S1Q1">
              <controlPr defaultSize="0" autoFill="0" autoLine="0" autoPict="0" altText="Check Box2">
                <anchor moveWithCells="1">
                  <from>
                    <xdr:col>1</xdr:col>
                    <xdr:colOff>185738</xdr:colOff>
                    <xdr:row>2</xdr:row>
                    <xdr:rowOff>0</xdr:rowOff>
                  </from>
                  <to>
                    <xdr:col>1</xdr:col>
                    <xdr:colOff>423863</xdr:colOff>
                    <xdr:row>3</xdr:row>
                    <xdr:rowOff>0</xdr:rowOff>
                  </to>
                </anchor>
              </controlPr>
            </control>
          </mc:Choice>
        </mc:AlternateContent>
        <mc:AlternateContent xmlns:mc="http://schemas.openxmlformats.org/markup-compatibility/2006">
          <mc:Choice Requires="x14">
            <control shapeId="1028" r:id="rId5" name="S1Q2">
              <controlPr defaultSize="0" autoFill="0" autoLine="0" autoPict="0">
                <anchor moveWithCells="1">
                  <from>
                    <xdr:col>1</xdr:col>
                    <xdr:colOff>185738</xdr:colOff>
                    <xdr:row>3</xdr:row>
                    <xdr:rowOff>0</xdr:rowOff>
                  </from>
                  <to>
                    <xdr:col>1</xdr:col>
                    <xdr:colOff>423863</xdr:colOff>
                    <xdr:row>4</xdr:row>
                    <xdr:rowOff>0</xdr:rowOff>
                  </to>
                </anchor>
              </controlPr>
            </control>
          </mc:Choice>
        </mc:AlternateContent>
        <mc:AlternateContent xmlns:mc="http://schemas.openxmlformats.org/markup-compatibility/2006">
          <mc:Choice Requires="x14">
            <control shapeId="1029" r:id="rId6" name="S1Q3">
              <controlPr defaultSize="0" autoFill="0" autoLine="0" autoPict="0">
                <anchor moveWithCells="1">
                  <from>
                    <xdr:col>1</xdr:col>
                    <xdr:colOff>185738</xdr:colOff>
                    <xdr:row>4</xdr:row>
                    <xdr:rowOff>0</xdr:rowOff>
                  </from>
                  <to>
                    <xdr:col>1</xdr:col>
                    <xdr:colOff>423863</xdr:colOff>
                    <xdr:row>5</xdr:row>
                    <xdr:rowOff>0</xdr:rowOff>
                  </to>
                </anchor>
              </controlPr>
            </control>
          </mc:Choice>
        </mc:AlternateContent>
        <mc:AlternateContent xmlns:mc="http://schemas.openxmlformats.org/markup-compatibility/2006">
          <mc:Choice Requires="x14">
            <control shapeId="1030" r:id="rId7" name="S1Q4">
              <controlPr defaultSize="0" autoFill="0" autoLine="0" autoPict="0">
                <anchor moveWithCells="1">
                  <from>
                    <xdr:col>1</xdr:col>
                    <xdr:colOff>185738</xdr:colOff>
                    <xdr:row>5</xdr:row>
                    <xdr:rowOff>0</xdr:rowOff>
                  </from>
                  <to>
                    <xdr:col>1</xdr:col>
                    <xdr:colOff>423863</xdr:colOff>
                    <xdr:row>6</xdr:row>
                    <xdr:rowOff>0</xdr:rowOff>
                  </to>
                </anchor>
              </controlPr>
            </control>
          </mc:Choice>
        </mc:AlternateContent>
        <mc:AlternateContent xmlns:mc="http://schemas.openxmlformats.org/markup-compatibility/2006">
          <mc:Choice Requires="x14">
            <control shapeId="1031" r:id="rId8" name="S1Q5">
              <controlPr defaultSize="0" autoFill="0" autoLine="0" autoPict="0">
                <anchor moveWithCells="1">
                  <from>
                    <xdr:col>1</xdr:col>
                    <xdr:colOff>185738</xdr:colOff>
                    <xdr:row>6</xdr:row>
                    <xdr:rowOff>0</xdr:rowOff>
                  </from>
                  <to>
                    <xdr:col>1</xdr:col>
                    <xdr:colOff>423863</xdr:colOff>
                    <xdr:row>7</xdr:row>
                    <xdr:rowOff>0</xdr:rowOff>
                  </to>
                </anchor>
              </controlPr>
            </control>
          </mc:Choice>
        </mc:AlternateContent>
        <mc:AlternateContent xmlns:mc="http://schemas.openxmlformats.org/markup-compatibility/2006">
          <mc:Choice Requires="x14">
            <control shapeId="1032" r:id="rId9" name="S1Q6">
              <controlPr defaultSize="0" autoFill="0" autoLine="0" autoPict="0">
                <anchor moveWithCells="1">
                  <from>
                    <xdr:col>1</xdr:col>
                    <xdr:colOff>185738</xdr:colOff>
                    <xdr:row>7</xdr:row>
                    <xdr:rowOff>0</xdr:rowOff>
                  </from>
                  <to>
                    <xdr:col>1</xdr:col>
                    <xdr:colOff>423863</xdr:colOff>
                    <xdr:row>8</xdr:row>
                    <xdr:rowOff>0</xdr:rowOff>
                  </to>
                </anchor>
              </controlPr>
            </control>
          </mc:Choice>
        </mc:AlternateContent>
        <mc:AlternateContent xmlns:mc="http://schemas.openxmlformats.org/markup-compatibility/2006">
          <mc:Choice Requires="x14">
            <control shapeId="1034" r:id="rId10" name="S2Q1">
              <controlPr defaultSize="0" autoFill="0" autoLine="0" autoPict="0">
                <anchor moveWithCells="1" sizeWithCells="1">
                  <from>
                    <xdr:col>1</xdr:col>
                    <xdr:colOff>185738</xdr:colOff>
                    <xdr:row>12</xdr:row>
                    <xdr:rowOff>0</xdr:rowOff>
                  </from>
                  <to>
                    <xdr:col>1</xdr:col>
                    <xdr:colOff>423863</xdr:colOff>
                    <xdr:row>13</xdr:row>
                    <xdr:rowOff>0</xdr:rowOff>
                  </to>
                </anchor>
              </controlPr>
            </control>
          </mc:Choice>
        </mc:AlternateContent>
        <mc:AlternateContent xmlns:mc="http://schemas.openxmlformats.org/markup-compatibility/2006">
          <mc:Choice Requires="x14">
            <control shapeId="1035" r:id="rId11" name="S2Q2">
              <controlPr defaultSize="0" autoFill="0" autoLine="0" autoPict="0">
                <anchor moveWithCells="1" sizeWithCells="1">
                  <from>
                    <xdr:col>1</xdr:col>
                    <xdr:colOff>185738</xdr:colOff>
                    <xdr:row>13</xdr:row>
                    <xdr:rowOff>0</xdr:rowOff>
                  </from>
                  <to>
                    <xdr:col>1</xdr:col>
                    <xdr:colOff>423863</xdr:colOff>
                    <xdr:row>14</xdr:row>
                    <xdr:rowOff>0</xdr:rowOff>
                  </to>
                </anchor>
              </controlPr>
            </control>
          </mc:Choice>
        </mc:AlternateContent>
        <mc:AlternateContent xmlns:mc="http://schemas.openxmlformats.org/markup-compatibility/2006">
          <mc:Choice Requires="x14">
            <control shapeId="1036" r:id="rId12" name="S2Q3">
              <controlPr defaultSize="0" autoFill="0" autoLine="0" autoPict="0">
                <anchor moveWithCells="1" sizeWithCells="1">
                  <from>
                    <xdr:col>1</xdr:col>
                    <xdr:colOff>185738</xdr:colOff>
                    <xdr:row>14</xdr:row>
                    <xdr:rowOff>0</xdr:rowOff>
                  </from>
                  <to>
                    <xdr:col>1</xdr:col>
                    <xdr:colOff>423863</xdr:colOff>
                    <xdr:row>15</xdr:row>
                    <xdr:rowOff>0</xdr:rowOff>
                  </to>
                </anchor>
              </controlPr>
            </control>
          </mc:Choice>
        </mc:AlternateContent>
        <mc:AlternateContent xmlns:mc="http://schemas.openxmlformats.org/markup-compatibility/2006">
          <mc:Choice Requires="x14">
            <control shapeId="1043" r:id="rId13" name="S3Q1">
              <controlPr defaultSize="0" autoFill="0" autoLine="0" autoPict="0">
                <anchor moveWithCells="1" sizeWithCells="1">
                  <from>
                    <xdr:col>1</xdr:col>
                    <xdr:colOff>185738</xdr:colOff>
                    <xdr:row>18</xdr:row>
                    <xdr:rowOff>0</xdr:rowOff>
                  </from>
                  <to>
                    <xdr:col>1</xdr:col>
                    <xdr:colOff>423863</xdr:colOff>
                    <xdr:row>19</xdr:row>
                    <xdr:rowOff>0</xdr:rowOff>
                  </to>
                </anchor>
              </controlPr>
            </control>
          </mc:Choice>
        </mc:AlternateContent>
        <mc:AlternateContent xmlns:mc="http://schemas.openxmlformats.org/markup-compatibility/2006">
          <mc:Choice Requires="x14">
            <control shapeId="1044" r:id="rId14" name="S3Q2">
              <controlPr defaultSize="0" autoFill="0" autoLine="0" autoPict="0">
                <anchor moveWithCells="1" sizeWithCells="1">
                  <from>
                    <xdr:col>1</xdr:col>
                    <xdr:colOff>185738</xdr:colOff>
                    <xdr:row>19</xdr:row>
                    <xdr:rowOff>0</xdr:rowOff>
                  </from>
                  <to>
                    <xdr:col>1</xdr:col>
                    <xdr:colOff>423863</xdr:colOff>
                    <xdr:row>20</xdr:row>
                    <xdr:rowOff>0</xdr:rowOff>
                  </to>
                </anchor>
              </controlPr>
            </control>
          </mc:Choice>
        </mc:AlternateContent>
        <mc:AlternateContent xmlns:mc="http://schemas.openxmlformats.org/markup-compatibility/2006">
          <mc:Choice Requires="x14">
            <control shapeId="1046" r:id="rId15" name="S3Q3">
              <controlPr defaultSize="0" autoFill="0" autoLine="0" autoPict="0">
                <anchor moveWithCells="1" sizeWithCells="1">
                  <from>
                    <xdr:col>1</xdr:col>
                    <xdr:colOff>185738</xdr:colOff>
                    <xdr:row>20</xdr:row>
                    <xdr:rowOff>0</xdr:rowOff>
                  </from>
                  <to>
                    <xdr:col>1</xdr:col>
                    <xdr:colOff>423863</xdr:colOff>
                    <xdr:row>21</xdr:row>
                    <xdr:rowOff>0</xdr:rowOff>
                  </to>
                </anchor>
              </controlPr>
            </control>
          </mc:Choice>
        </mc:AlternateContent>
        <mc:AlternateContent xmlns:mc="http://schemas.openxmlformats.org/markup-compatibility/2006">
          <mc:Choice Requires="x14">
            <control shapeId="1047" r:id="rId16" name="S3Q4">
              <controlPr defaultSize="0" autoFill="0" autoLine="0" autoPict="0">
                <anchor moveWithCells="1" sizeWithCells="1">
                  <from>
                    <xdr:col>1</xdr:col>
                    <xdr:colOff>185738</xdr:colOff>
                    <xdr:row>21</xdr:row>
                    <xdr:rowOff>0</xdr:rowOff>
                  </from>
                  <to>
                    <xdr:col>1</xdr:col>
                    <xdr:colOff>423863</xdr:colOff>
                    <xdr:row>22</xdr:row>
                    <xdr:rowOff>0</xdr:rowOff>
                  </to>
                </anchor>
              </controlPr>
            </control>
          </mc:Choice>
        </mc:AlternateContent>
        <mc:AlternateContent xmlns:mc="http://schemas.openxmlformats.org/markup-compatibility/2006">
          <mc:Choice Requires="x14">
            <control shapeId="1048" r:id="rId17" name="S3Q5">
              <controlPr defaultSize="0" autoFill="0" autoLine="0" autoPict="0">
                <anchor moveWithCells="1" sizeWithCells="1">
                  <from>
                    <xdr:col>1</xdr:col>
                    <xdr:colOff>185738</xdr:colOff>
                    <xdr:row>22</xdr:row>
                    <xdr:rowOff>0</xdr:rowOff>
                  </from>
                  <to>
                    <xdr:col>1</xdr:col>
                    <xdr:colOff>423863</xdr:colOff>
                    <xdr:row>23</xdr:row>
                    <xdr:rowOff>0</xdr:rowOff>
                  </to>
                </anchor>
              </controlPr>
            </control>
          </mc:Choice>
        </mc:AlternateContent>
        <mc:AlternateContent xmlns:mc="http://schemas.openxmlformats.org/markup-compatibility/2006">
          <mc:Choice Requires="x14">
            <control shapeId="1049" r:id="rId18" name="S4Q1">
              <controlPr defaultSize="0" autoFill="0" autoLine="0" autoPict="0">
                <anchor moveWithCells="1" sizeWithCells="1">
                  <from>
                    <xdr:col>1</xdr:col>
                    <xdr:colOff>185738</xdr:colOff>
                    <xdr:row>25</xdr:row>
                    <xdr:rowOff>0</xdr:rowOff>
                  </from>
                  <to>
                    <xdr:col>1</xdr:col>
                    <xdr:colOff>423863</xdr:colOff>
                    <xdr:row>26</xdr:row>
                    <xdr:rowOff>0</xdr:rowOff>
                  </to>
                </anchor>
              </controlPr>
            </control>
          </mc:Choice>
        </mc:AlternateContent>
        <mc:AlternateContent xmlns:mc="http://schemas.openxmlformats.org/markup-compatibility/2006">
          <mc:Choice Requires="x14">
            <control shapeId="1050" r:id="rId19" name="S4Q2">
              <controlPr defaultSize="0" autoFill="0" autoLine="0" autoPict="0">
                <anchor moveWithCells="1" sizeWithCells="1">
                  <from>
                    <xdr:col>1</xdr:col>
                    <xdr:colOff>185738</xdr:colOff>
                    <xdr:row>26</xdr:row>
                    <xdr:rowOff>0</xdr:rowOff>
                  </from>
                  <to>
                    <xdr:col>1</xdr:col>
                    <xdr:colOff>423863</xdr:colOff>
                    <xdr:row>27</xdr:row>
                    <xdr:rowOff>0</xdr:rowOff>
                  </to>
                </anchor>
              </controlPr>
            </control>
          </mc:Choice>
        </mc:AlternateContent>
        <mc:AlternateContent xmlns:mc="http://schemas.openxmlformats.org/markup-compatibility/2006">
          <mc:Choice Requires="x14">
            <control shapeId="1051" r:id="rId20" name="S4Q3">
              <controlPr defaultSize="0" autoFill="0" autoLine="0" autoPict="0">
                <anchor moveWithCells="1" sizeWithCells="1">
                  <from>
                    <xdr:col>1</xdr:col>
                    <xdr:colOff>185738</xdr:colOff>
                    <xdr:row>27</xdr:row>
                    <xdr:rowOff>0</xdr:rowOff>
                  </from>
                  <to>
                    <xdr:col>1</xdr:col>
                    <xdr:colOff>423863</xdr:colOff>
                    <xdr:row>28</xdr:row>
                    <xdr:rowOff>0</xdr:rowOff>
                  </to>
                </anchor>
              </controlPr>
            </control>
          </mc:Choice>
        </mc:AlternateContent>
        <mc:AlternateContent xmlns:mc="http://schemas.openxmlformats.org/markup-compatibility/2006">
          <mc:Choice Requires="x14">
            <control shapeId="1052" r:id="rId21" name="S4Q4">
              <controlPr defaultSize="0" autoFill="0" autoLine="0" autoPict="0">
                <anchor moveWithCells="1" sizeWithCells="1">
                  <from>
                    <xdr:col>1</xdr:col>
                    <xdr:colOff>185738</xdr:colOff>
                    <xdr:row>28</xdr:row>
                    <xdr:rowOff>0</xdr:rowOff>
                  </from>
                  <to>
                    <xdr:col>1</xdr:col>
                    <xdr:colOff>423863</xdr:colOff>
                    <xdr:row>29</xdr:row>
                    <xdr:rowOff>0</xdr:rowOff>
                  </to>
                </anchor>
              </controlPr>
            </control>
          </mc:Choice>
        </mc:AlternateContent>
        <mc:AlternateContent xmlns:mc="http://schemas.openxmlformats.org/markup-compatibility/2006">
          <mc:Choice Requires="x14">
            <control shapeId="1053" r:id="rId22" name="S4Q5">
              <controlPr defaultSize="0" autoFill="0" autoLine="0" autoPict="0">
                <anchor moveWithCells="1" sizeWithCells="1">
                  <from>
                    <xdr:col>1</xdr:col>
                    <xdr:colOff>185738</xdr:colOff>
                    <xdr:row>29</xdr:row>
                    <xdr:rowOff>0</xdr:rowOff>
                  </from>
                  <to>
                    <xdr:col>1</xdr:col>
                    <xdr:colOff>423863</xdr:colOff>
                    <xdr:row>30</xdr:row>
                    <xdr:rowOff>0</xdr:rowOff>
                  </to>
                </anchor>
              </controlPr>
            </control>
          </mc:Choice>
        </mc:AlternateContent>
        <mc:AlternateContent xmlns:mc="http://schemas.openxmlformats.org/markup-compatibility/2006">
          <mc:Choice Requires="x14">
            <control shapeId="1054" r:id="rId23" name="S4Q6">
              <controlPr defaultSize="0" autoFill="0" autoLine="0" autoPict="0">
                <anchor moveWithCells="1" sizeWithCells="1">
                  <from>
                    <xdr:col>1</xdr:col>
                    <xdr:colOff>185738</xdr:colOff>
                    <xdr:row>30</xdr:row>
                    <xdr:rowOff>0</xdr:rowOff>
                  </from>
                  <to>
                    <xdr:col>1</xdr:col>
                    <xdr:colOff>423863</xdr:colOff>
                    <xdr:row>31</xdr:row>
                    <xdr:rowOff>0</xdr:rowOff>
                  </to>
                </anchor>
              </controlPr>
            </control>
          </mc:Choice>
        </mc:AlternateContent>
        <mc:AlternateContent xmlns:mc="http://schemas.openxmlformats.org/markup-compatibility/2006">
          <mc:Choice Requires="x14">
            <control shapeId="1055" r:id="rId24" name="S4Q7">
              <controlPr defaultSize="0" autoFill="0" autoLine="0" autoPict="0">
                <anchor moveWithCells="1" sizeWithCells="1">
                  <from>
                    <xdr:col>1</xdr:col>
                    <xdr:colOff>185738</xdr:colOff>
                    <xdr:row>31</xdr:row>
                    <xdr:rowOff>0</xdr:rowOff>
                  </from>
                  <to>
                    <xdr:col>1</xdr:col>
                    <xdr:colOff>423863</xdr:colOff>
                    <xdr:row>32</xdr:row>
                    <xdr:rowOff>0</xdr:rowOff>
                  </to>
                </anchor>
              </controlPr>
            </control>
          </mc:Choice>
        </mc:AlternateContent>
        <mc:AlternateContent xmlns:mc="http://schemas.openxmlformats.org/markup-compatibility/2006">
          <mc:Choice Requires="x14">
            <control shapeId="1056" r:id="rId25" name="S4Q8">
              <controlPr defaultSize="0" autoFill="0" autoLine="0" autoPict="0">
                <anchor moveWithCells="1" sizeWithCells="1">
                  <from>
                    <xdr:col>1</xdr:col>
                    <xdr:colOff>185738</xdr:colOff>
                    <xdr:row>32</xdr:row>
                    <xdr:rowOff>0</xdr:rowOff>
                  </from>
                  <to>
                    <xdr:col>1</xdr:col>
                    <xdr:colOff>423863</xdr:colOff>
                    <xdr:row>33</xdr:row>
                    <xdr:rowOff>0</xdr:rowOff>
                  </to>
                </anchor>
              </controlPr>
            </control>
          </mc:Choice>
        </mc:AlternateContent>
        <mc:AlternateContent xmlns:mc="http://schemas.openxmlformats.org/markup-compatibility/2006">
          <mc:Choice Requires="x14">
            <control shapeId="1057" r:id="rId26" name="Button 33">
              <controlPr defaultSize="0" print="0" autoFill="0" autoPict="0" macro="[0]!base_selection">
                <anchor moveWithCells="1" sizeWithCells="1">
                  <from>
                    <xdr:col>0</xdr:col>
                    <xdr:colOff>61913</xdr:colOff>
                    <xdr:row>42</xdr:row>
                    <xdr:rowOff>38100</xdr:rowOff>
                  </from>
                  <to>
                    <xdr:col>0</xdr:col>
                    <xdr:colOff>952500</xdr:colOff>
                    <xdr:row>43</xdr:row>
                    <xdr:rowOff>109538</xdr:rowOff>
                  </to>
                </anchor>
              </controlPr>
            </control>
          </mc:Choice>
        </mc:AlternateContent>
        <mc:AlternateContent xmlns:mc="http://schemas.openxmlformats.org/markup-compatibility/2006">
          <mc:Choice Requires="x14">
            <control shapeId="1059" r:id="rId27" name="Button 35">
              <controlPr defaultSize="0" print="0" autoFill="0" autoPict="0" macro="[0]!Clear.clear">
                <anchor moveWithCells="1" sizeWithCells="1">
                  <from>
                    <xdr:col>0</xdr:col>
                    <xdr:colOff>61913</xdr:colOff>
                    <xdr:row>48</xdr:row>
                    <xdr:rowOff>33338</xdr:rowOff>
                  </from>
                  <to>
                    <xdr:col>0</xdr:col>
                    <xdr:colOff>952500</xdr:colOff>
                    <xdr:row>49</xdr:row>
                    <xdr:rowOff>119063</xdr:rowOff>
                  </to>
                </anchor>
              </controlPr>
            </control>
          </mc:Choice>
        </mc:AlternateContent>
        <mc:AlternateContent xmlns:mc="http://schemas.openxmlformats.org/markup-compatibility/2006">
          <mc:Choice Requires="x14">
            <control shapeId="1060" r:id="rId28" name="Button 36">
              <controlPr defaultSize="0" print="0" autoFill="0" autoPict="0" macro="[0]!New_BS.new_bs">
                <anchor moveWithCells="1" sizeWithCells="1">
                  <from>
                    <xdr:col>0</xdr:col>
                    <xdr:colOff>61913</xdr:colOff>
                    <xdr:row>45</xdr:row>
                    <xdr:rowOff>23813</xdr:rowOff>
                  </from>
                  <to>
                    <xdr:col>0</xdr:col>
                    <xdr:colOff>952500</xdr:colOff>
                    <xdr:row>46</xdr:row>
                    <xdr:rowOff>114300</xdr:rowOff>
                  </to>
                </anchor>
              </controlPr>
            </control>
          </mc:Choice>
        </mc:AlternateContent>
        <mc:AlternateContent xmlns:mc="http://schemas.openxmlformats.org/markup-compatibility/2006">
          <mc:Choice Requires="x14">
            <control shapeId="1061" r:id="rId29" name="S3Q6">
              <controlPr defaultSize="0" autoFill="0" autoLine="0" autoPict="0" altText="">
                <anchor moveWithCells="1" sizeWithCells="1">
                  <from>
                    <xdr:col>1</xdr:col>
                    <xdr:colOff>185738</xdr:colOff>
                    <xdr:row>23</xdr:row>
                    <xdr:rowOff>0</xdr:rowOff>
                  </from>
                  <to>
                    <xdr:col>1</xdr:col>
                    <xdr:colOff>423863</xdr:colOff>
                    <xdr:row>24</xdr:row>
                    <xdr:rowOff>0</xdr:rowOff>
                  </to>
                </anchor>
              </controlPr>
            </control>
          </mc:Choice>
        </mc:AlternateContent>
        <mc:AlternateContent xmlns:mc="http://schemas.openxmlformats.org/markup-compatibility/2006">
          <mc:Choice Requires="x14">
            <control shapeId="1062" r:id="rId30" name="Tool1">
              <controlPr defaultSize="0" autoFill="0" autoLine="0" autoPict="0">
                <anchor moveWithCells="1" sizeWithCells="1">
                  <from>
                    <xdr:col>1</xdr:col>
                    <xdr:colOff>185738</xdr:colOff>
                    <xdr:row>34</xdr:row>
                    <xdr:rowOff>4763</xdr:rowOff>
                  </from>
                  <to>
                    <xdr:col>1</xdr:col>
                    <xdr:colOff>423863</xdr:colOff>
                    <xdr:row>34</xdr:row>
                    <xdr:rowOff>176213</xdr:rowOff>
                  </to>
                </anchor>
              </controlPr>
            </control>
          </mc:Choice>
        </mc:AlternateContent>
        <mc:AlternateContent xmlns:mc="http://schemas.openxmlformats.org/markup-compatibility/2006">
          <mc:Choice Requires="x14">
            <control shapeId="1063" r:id="rId31" name="Tool2">
              <controlPr defaultSize="0" autoFill="0" autoLine="0" autoPict="0">
                <anchor moveWithCells="1" sizeWithCells="1">
                  <from>
                    <xdr:col>1</xdr:col>
                    <xdr:colOff>185738</xdr:colOff>
                    <xdr:row>35</xdr:row>
                    <xdr:rowOff>0</xdr:rowOff>
                  </from>
                  <to>
                    <xdr:col>1</xdr:col>
                    <xdr:colOff>423863</xdr:colOff>
                    <xdr:row>36</xdr:row>
                    <xdr:rowOff>0</xdr:rowOff>
                  </to>
                </anchor>
              </controlPr>
            </control>
          </mc:Choice>
        </mc:AlternateContent>
        <mc:AlternateContent xmlns:mc="http://schemas.openxmlformats.org/markup-compatibility/2006">
          <mc:Choice Requires="x14">
            <control shapeId="1064" r:id="rId32" name="Tool3">
              <controlPr defaultSize="0" autoFill="0" autoLine="0" autoPict="0">
                <anchor moveWithCells="1" sizeWithCells="1">
                  <from>
                    <xdr:col>1</xdr:col>
                    <xdr:colOff>185738</xdr:colOff>
                    <xdr:row>36</xdr:row>
                    <xdr:rowOff>0</xdr:rowOff>
                  </from>
                  <to>
                    <xdr:col>1</xdr:col>
                    <xdr:colOff>423863</xdr:colOff>
                    <xdr:row>37</xdr:row>
                    <xdr:rowOff>0</xdr:rowOff>
                  </to>
                </anchor>
              </controlPr>
            </control>
          </mc:Choice>
        </mc:AlternateContent>
        <mc:AlternateContent xmlns:mc="http://schemas.openxmlformats.org/markup-compatibility/2006">
          <mc:Choice Requires="x14">
            <control shapeId="1065" r:id="rId33" name="Tool4">
              <controlPr defaultSize="0" autoFill="0" autoLine="0" autoPict="0">
                <anchor moveWithCells="1" sizeWithCells="1">
                  <from>
                    <xdr:col>1</xdr:col>
                    <xdr:colOff>185738</xdr:colOff>
                    <xdr:row>37</xdr:row>
                    <xdr:rowOff>4763</xdr:rowOff>
                  </from>
                  <to>
                    <xdr:col>1</xdr:col>
                    <xdr:colOff>423863</xdr:colOff>
                    <xdr:row>38</xdr:row>
                    <xdr:rowOff>4763</xdr:rowOff>
                  </to>
                </anchor>
              </controlPr>
            </control>
          </mc:Choice>
        </mc:AlternateContent>
        <mc:AlternateContent xmlns:mc="http://schemas.openxmlformats.org/markup-compatibility/2006">
          <mc:Choice Requires="x14">
            <control shapeId="1066" r:id="rId34" name="Tool5">
              <controlPr defaultSize="0" autoFill="0" autoLine="0" autoPict="0">
                <anchor moveWithCells="1" sizeWithCells="1">
                  <from>
                    <xdr:col>1</xdr:col>
                    <xdr:colOff>185738</xdr:colOff>
                    <xdr:row>38</xdr:row>
                    <xdr:rowOff>4763</xdr:rowOff>
                  </from>
                  <to>
                    <xdr:col>1</xdr:col>
                    <xdr:colOff>423863</xdr:colOff>
                    <xdr:row>39</xdr:row>
                    <xdr:rowOff>4763</xdr:rowOff>
                  </to>
                </anchor>
              </controlPr>
            </control>
          </mc:Choice>
        </mc:AlternateContent>
        <mc:AlternateContent xmlns:mc="http://schemas.openxmlformats.org/markup-compatibility/2006">
          <mc:Choice Requires="x14">
            <control shapeId="1067" r:id="rId35" name="Tool6">
              <controlPr defaultSize="0" autoFill="0" autoLine="0" autoPict="0">
                <anchor moveWithCells="1" sizeWithCells="1">
                  <from>
                    <xdr:col>1</xdr:col>
                    <xdr:colOff>185738</xdr:colOff>
                    <xdr:row>39</xdr:row>
                    <xdr:rowOff>0</xdr:rowOff>
                  </from>
                  <to>
                    <xdr:col>1</xdr:col>
                    <xdr:colOff>423863</xdr:colOff>
                    <xdr:row>40</xdr:row>
                    <xdr:rowOff>0</xdr:rowOff>
                  </to>
                </anchor>
              </controlPr>
            </control>
          </mc:Choice>
        </mc:AlternateContent>
        <mc:AlternateContent xmlns:mc="http://schemas.openxmlformats.org/markup-compatibility/2006">
          <mc:Choice Requires="x14">
            <control shapeId="1068" r:id="rId36" name="None">
              <controlPr defaultSize="0" autoFill="0" autoLine="0" autoPict="0">
                <anchor moveWithCells="1">
                  <from>
                    <xdr:col>1</xdr:col>
                    <xdr:colOff>185738</xdr:colOff>
                    <xdr:row>40</xdr:row>
                    <xdr:rowOff>0</xdr:rowOff>
                  </from>
                  <to>
                    <xdr:col>1</xdr:col>
                    <xdr:colOff>423863</xdr:colOff>
                    <xdr:row>41</xdr:row>
                    <xdr:rowOff>0</xdr:rowOff>
                  </to>
                </anchor>
              </controlPr>
            </control>
          </mc:Choice>
        </mc:AlternateContent>
        <mc:AlternateContent xmlns:mc="http://schemas.openxmlformats.org/markup-compatibility/2006">
          <mc:Choice Requires="x14">
            <control shapeId="1069" r:id="rId37" name="Button 45">
              <controlPr defaultSize="0" print="0" autoFill="0" autoPict="0" macro="[0]!SaveAs1">
                <anchor moveWithCells="1" sizeWithCells="1">
                  <from>
                    <xdr:col>0</xdr:col>
                    <xdr:colOff>61913</xdr:colOff>
                    <xdr:row>51</xdr:row>
                    <xdr:rowOff>33338</xdr:rowOff>
                  </from>
                  <to>
                    <xdr:col>0</xdr:col>
                    <xdr:colOff>952500</xdr:colOff>
                    <xdr:row>52</xdr:row>
                    <xdr:rowOff>119063</xdr:rowOff>
                  </to>
                </anchor>
              </controlPr>
            </control>
          </mc:Choice>
        </mc:AlternateContent>
        <mc:AlternateContent xmlns:mc="http://schemas.openxmlformats.org/markup-compatibility/2006">
          <mc:Choice Requires="x14">
            <control shapeId="1070" r:id="rId38" name="S1Q7">
              <controlPr defaultSize="0" autoFill="0" autoLine="0" autoPict="0">
                <anchor moveWithCells="1">
                  <from>
                    <xdr:col>1</xdr:col>
                    <xdr:colOff>185738</xdr:colOff>
                    <xdr:row>7</xdr:row>
                    <xdr:rowOff>185738</xdr:rowOff>
                  </from>
                  <to>
                    <xdr:col>17</xdr:col>
                    <xdr:colOff>347663</xdr:colOff>
                    <xdr:row>9</xdr:row>
                    <xdr:rowOff>4763</xdr:rowOff>
                  </to>
                </anchor>
              </controlPr>
            </control>
          </mc:Choice>
        </mc:AlternateContent>
        <mc:AlternateContent xmlns:mc="http://schemas.openxmlformats.org/markup-compatibility/2006">
          <mc:Choice Requires="x14">
            <control shapeId="1072" r:id="rId39" name="S1Q8">
              <controlPr defaultSize="0" autoFill="0" autoLine="0" autoPict="0">
                <anchor moveWithCells="1">
                  <from>
                    <xdr:col>1</xdr:col>
                    <xdr:colOff>185738</xdr:colOff>
                    <xdr:row>8</xdr:row>
                    <xdr:rowOff>185738</xdr:rowOff>
                  </from>
                  <to>
                    <xdr:col>17</xdr:col>
                    <xdr:colOff>347663</xdr:colOff>
                    <xdr:row>10</xdr:row>
                    <xdr:rowOff>4763</xdr:rowOff>
                  </to>
                </anchor>
              </controlPr>
            </control>
          </mc:Choice>
        </mc:AlternateContent>
        <mc:AlternateContent xmlns:mc="http://schemas.openxmlformats.org/markup-compatibility/2006">
          <mc:Choice Requires="x14">
            <control shapeId="1073" r:id="rId40" name="S1Q9">
              <controlPr defaultSize="0" autoFill="0" autoLine="0" autoPict="0">
                <anchor moveWithCells="1">
                  <from>
                    <xdr:col>1</xdr:col>
                    <xdr:colOff>185738</xdr:colOff>
                    <xdr:row>9</xdr:row>
                    <xdr:rowOff>176213</xdr:rowOff>
                  </from>
                  <to>
                    <xdr:col>17</xdr:col>
                    <xdr:colOff>347663</xdr:colOff>
                    <xdr:row>11</xdr:row>
                    <xdr:rowOff>0</xdr:rowOff>
                  </to>
                </anchor>
              </controlPr>
            </control>
          </mc:Choice>
        </mc:AlternateContent>
        <mc:AlternateContent xmlns:mc="http://schemas.openxmlformats.org/markup-compatibility/2006">
          <mc:Choice Requires="x14">
            <control shapeId="1074" r:id="rId41" name="S2Q4">
              <controlPr defaultSize="0" autoFill="0" autoLine="0" autoPict="0">
                <anchor moveWithCells="1" sizeWithCells="1">
                  <from>
                    <xdr:col>1</xdr:col>
                    <xdr:colOff>185738</xdr:colOff>
                    <xdr:row>14</xdr:row>
                    <xdr:rowOff>185738</xdr:rowOff>
                  </from>
                  <to>
                    <xdr:col>2</xdr:col>
                    <xdr:colOff>423863</xdr:colOff>
                    <xdr:row>16</xdr:row>
                    <xdr:rowOff>4763</xdr:rowOff>
                  </to>
                </anchor>
              </controlPr>
            </control>
          </mc:Choice>
        </mc:AlternateContent>
        <mc:AlternateContent xmlns:mc="http://schemas.openxmlformats.org/markup-compatibility/2006">
          <mc:Choice Requires="x14">
            <control shapeId="1075" r:id="rId42" name="S2Q5">
              <controlPr defaultSize="0" autoFill="0" autoLine="0" autoPict="0">
                <anchor moveWithCells="1" sizeWithCells="1">
                  <from>
                    <xdr:col>1</xdr:col>
                    <xdr:colOff>185738</xdr:colOff>
                    <xdr:row>16</xdr:row>
                    <xdr:rowOff>0</xdr:rowOff>
                  </from>
                  <to>
                    <xdr:col>2</xdr:col>
                    <xdr:colOff>423863</xdr:colOff>
                    <xdr:row>17</xdr:row>
                    <xdr:rowOff>23813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F2B4E-C151-4CB1-96F8-CFE1683B6A06}">
  <sheetPr codeName="Sheet43">
    <tabColor rgb="FFDEC7C0"/>
    <outlinePr summaryBelow="0" summaryRight="0"/>
  </sheetPr>
  <dimension ref="A1:W1013"/>
  <sheetViews>
    <sheetView topLeftCell="A6" workbookViewId="0">
      <selection activeCell="B6" sqref="B6"/>
    </sheetView>
  </sheetViews>
  <sheetFormatPr defaultColWidth="14.33203125" defaultRowHeight="15.75" customHeight="1"/>
  <cols>
    <col min="1" max="1" width="37.59765625" style="37" customWidth="1"/>
    <col min="2" max="2" width="112.33203125" style="16" customWidth="1"/>
    <col min="3" max="3" width="14.33203125" style="37" customWidth="1"/>
    <col min="4" max="4" width="14.06640625" style="37" customWidth="1"/>
    <col min="5" max="5" width="14.33203125" style="37" customWidth="1"/>
    <col min="6" max="16384" width="14.33203125" style="37"/>
  </cols>
  <sheetData>
    <row r="1" spans="1:23" s="31" customFormat="1" ht="29.25" customHeight="1">
      <c r="A1" s="93" t="s">
        <v>25</v>
      </c>
      <c r="B1" s="93" t="s">
        <v>26</v>
      </c>
      <c r="C1" s="29"/>
      <c r="D1" s="30"/>
      <c r="E1" s="30"/>
      <c r="F1" s="30"/>
      <c r="G1" s="30"/>
      <c r="H1" s="30"/>
      <c r="I1" s="30"/>
      <c r="J1" s="30"/>
      <c r="K1" s="30"/>
      <c r="L1" s="30"/>
      <c r="M1" s="30"/>
      <c r="N1" s="30"/>
      <c r="O1" s="30"/>
      <c r="P1" s="30"/>
      <c r="Q1" s="30"/>
      <c r="R1" s="30"/>
      <c r="S1" s="30"/>
      <c r="T1" s="30"/>
      <c r="U1" s="30"/>
      <c r="V1" s="30"/>
      <c r="W1" s="30"/>
    </row>
    <row r="2" spans="1:23" ht="141" customHeight="1">
      <c r="A2" s="32"/>
      <c r="B2" s="33" t="s">
        <v>525</v>
      </c>
      <c r="C2" s="34"/>
      <c r="D2" s="35"/>
      <c r="E2" s="36"/>
    </row>
    <row r="3" spans="1:23" ht="127.5" customHeight="1">
      <c r="A3" s="32"/>
      <c r="B3" s="38" t="s">
        <v>526</v>
      </c>
      <c r="C3" s="35"/>
      <c r="D3" s="35"/>
      <c r="E3" s="35"/>
    </row>
    <row r="4" spans="1:23" ht="133.5" customHeight="1">
      <c r="A4" s="32"/>
      <c r="B4" s="38" t="s">
        <v>527</v>
      </c>
      <c r="C4" s="35"/>
      <c r="D4" s="35"/>
      <c r="E4" s="35"/>
    </row>
    <row r="5" spans="1:23" ht="166.25" customHeight="1">
      <c r="A5" s="32"/>
      <c r="B5" s="38" t="s">
        <v>528</v>
      </c>
      <c r="C5" s="35"/>
      <c r="E5" s="35"/>
    </row>
    <row r="6" spans="1:23" ht="134.25" customHeight="1">
      <c r="A6" s="39"/>
      <c r="B6" s="40" t="s">
        <v>729</v>
      </c>
      <c r="C6" s="35"/>
      <c r="D6" s="35"/>
    </row>
    <row r="7" spans="1:23" ht="138" customHeight="1">
      <c r="A7" s="32"/>
      <c r="B7" s="33" t="s">
        <v>493</v>
      </c>
      <c r="C7" s="35"/>
      <c r="E7" s="41"/>
    </row>
    <row r="8" spans="1:23" ht="12.75">
      <c r="A8" s="35"/>
      <c r="B8" s="42"/>
      <c r="C8" s="35"/>
      <c r="E8" s="35"/>
    </row>
    <row r="9" spans="1:23" ht="12.75">
      <c r="A9" s="35"/>
      <c r="B9" s="42"/>
      <c r="C9" s="35"/>
      <c r="D9" s="35"/>
      <c r="E9" s="36"/>
    </row>
    <row r="10" spans="1:23" ht="15.75" customHeight="1">
      <c r="A10" s="35"/>
      <c r="C10" s="35"/>
    </row>
    <row r="11" spans="1:23" ht="15.75" customHeight="1">
      <c r="A11" s="35"/>
      <c r="C11" s="35"/>
    </row>
    <row r="12" spans="1:23" ht="15.75" customHeight="1">
      <c r="A12" s="35"/>
      <c r="C12" s="35"/>
    </row>
    <row r="13" spans="1:23" ht="15.75" customHeight="1">
      <c r="A13" s="35"/>
      <c r="C13" s="35"/>
    </row>
    <row r="14" spans="1:23" ht="15.75" customHeight="1">
      <c r="A14" s="35"/>
      <c r="C14" s="35"/>
    </row>
    <row r="15" spans="1:23" ht="15.75" customHeight="1">
      <c r="A15" s="35"/>
      <c r="C15" s="35"/>
    </row>
    <row r="16" spans="1:23" ht="15.75" customHeight="1">
      <c r="A16" s="35"/>
      <c r="C16" s="35"/>
    </row>
    <row r="17" spans="1:3" ht="15.75" customHeight="1">
      <c r="A17" s="35"/>
      <c r="C17" s="35"/>
    </row>
    <row r="18" spans="1:3" ht="15.75" customHeight="1">
      <c r="A18" s="35"/>
      <c r="C18" s="35"/>
    </row>
    <row r="19" spans="1:3" ht="15.75" customHeight="1">
      <c r="A19" s="35"/>
      <c r="C19" s="35"/>
    </row>
    <row r="20" spans="1:3" ht="15.75" customHeight="1">
      <c r="A20" s="35"/>
      <c r="C20" s="35"/>
    </row>
    <row r="21" spans="1:3" ht="15.75" customHeight="1">
      <c r="A21" s="35"/>
      <c r="C21" s="35"/>
    </row>
    <row r="22" spans="1:3" ht="15.75" customHeight="1">
      <c r="A22" s="35"/>
      <c r="C22" s="35"/>
    </row>
    <row r="23" spans="1:3" ht="15.75" customHeight="1">
      <c r="A23" s="35"/>
      <c r="C23" s="35"/>
    </row>
    <row r="24" spans="1:3" ht="15.75" customHeight="1">
      <c r="A24" s="35"/>
      <c r="C24" s="35"/>
    </row>
    <row r="25" spans="1:3" ht="15.75" customHeight="1">
      <c r="A25" s="35"/>
      <c r="C25" s="35"/>
    </row>
    <row r="26" spans="1:3" ht="15.75" customHeight="1">
      <c r="A26" s="35"/>
      <c r="C26" s="35"/>
    </row>
    <row r="27" spans="1:3" ht="15.75" customHeight="1">
      <c r="A27" s="35"/>
      <c r="C27" s="35"/>
    </row>
    <row r="28" spans="1:3" ht="15.75" customHeight="1">
      <c r="A28" s="35"/>
      <c r="C28" s="35"/>
    </row>
    <row r="29" spans="1:3" ht="12.75">
      <c r="A29" s="35"/>
      <c r="C29" s="35"/>
    </row>
    <row r="30" spans="1:3" ht="12.75">
      <c r="A30" s="35"/>
      <c r="C30" s="35"/>
    </row>
    <row r="31" spans="1:3" ht="12.75">
      <c r="A31" s="35"/>
      <c r="C31" s="35"/>
    </row>
    <row r="32" spans="1:3" ht="12.75">
      <c r="A32" s="35"/>
      <c r="C32" s="35"/>
    </row>
    <row r="33" spans="1:3" ht="12.75">
      <c r="A33" s="35"/>
      <c r="C33" s="35"/>
    </row>
    <row r="34" spans="1:3" ht="12.75">
      <c r="A34" s="35"/>
      <c r="C34" s="35"/>
    </row>
    <row r="35" spans="1:3" ht="12.75">
      <c r="A35" s="35"/>
      <c r="C35" s="35"/>
    </row>
    <row r="36" spans="1:3" ht="12.75">
      <c r="A36" s="35"/>
      <c r="C36" s="35"/>
    </row>
    <row r="37" spans="1:3" ht="12.75">
      <c r="A37" s="35"/>
      <c r="C37" s="35"/>
    </row>
    <row r="38" spans="1:3" ht="12.75">
      <c r="A38" s="35"/>
      <c r="C38" s="35"/>
    </row>
    <row r="39" spans="1:3" ht="12.75">
      <c r="A39" s="35"/>
      <c r="C39" s="35"/>
    </row>
    <row r="40" spans="1:3" ht="12.75">
      <c r="A40" s="35"/>
      <c r="C40" s="35"/>
    </row>
    <row r="41" spans="1:3" ht="12.75">
      <c r="A41" s="35"/>
      <c r="C41" s="35"/>
    </row>
    <row r="42" spans="1:3" ht="12.75">
      <c r="A42" s="35"/>
      <c r="C42" s="35"/>
    </row>
    <row r="43" spans="1:3" ht="12.75">
      <c r="A43" s="35"/>
      <c r="C43" s="35"/>
    </row>
    <row r="44" spans="1:3" ht="12.75">
      <c r="A44" s="35"/>
      <c r="C44" s="35"/>
    </row>
    <row r="45" spans="1:3" ht="12.75">
      <c r="A45" s="35"/>
      <c r="C45" s="35"/>
    </row>
    <row r="46" spans="1:3" ht="12.75">
      <c r="A46" s="35"/>
      <c r="C46" s="35"/>
    </row>
    <row r="47" spans="1:3" ht="12.75">
      <c r="A47" s="35"/>
      <c r="C47" s="35"/>
    </row>
    <row r="48" spans="1:3" ht="12.75">
      <c r="A48" s="35"/>
      <c r="C48" s="35"/>
    </row>
    <row r="49" spans="1:3" ht="12.75">
      <c r="A49" s="35"/>
      <c r="C49" s="35"/>
    </row>
    <row r="50" spans="1:3" ht="12.75">
      <c r="A50" s="35"/>
      <c r="C50" s="35"/>
    </row>
    <row r="51" spans="1:3" ht="12.75">
      <c r="A51" s="35"/>
      <c r="C51" s="35"/>
    </row>
    <row r="52" spans="1:3" ht="12.75">
      <c r="A52" s="35"/>
      <c r="C52" s="35"/>
    </row>
    <row r="53" spans="1:3" ht="12.75">
      <c r="A53" s="35"/>
      <c r="C53" s="35"/>
    </row>
    <row r="54" spans="1:3" ht="12.75">
      <c r="A54" s="35"/>
      <c r="C54" s="35"/>
    </row>
    <row r="55" spans="1:3" ht="12.75">
      <c r="A55" s="35"/>
      <c r="C55" s="35"/>
    </row>
    <row r="56" spans="1:3" ht="12.75">
      <c r="A56" s="35"/>
      <c r="C56" s="35"/>
    </row>
    <row r="57" spans="1:3" ht="12.75">
      <c r="A57" s="35"/>
      <c r="C57" s="35"/>
    </row>
    <row r="58" spans="1:3" ht="12.75">
      <c r="A58" s="35"/>
      <c r="C58" s="35"/>
    </row>
    <row r="59" spans="1:3" ht="12.75">
      <c r="A59" s="35"/>
      <c r="C59" s="35"/>
    </row>
    <row r="60" spans="1:3" ht="12.75">
      <c r="A60" s="35"/>
      <c r="C60" s="35"/>
    </row>
    <row r="61" spans="1:3" ht="12.75">
      <c r="A61" s="35"/>
      <c r="C61" s="35"/>
    </row>
    <row r="62" spans="1:3" ht="12.75">
      <c r="A62" s="35"/>
      <c r="C62" s="35"/>
    </row>
    <row r="63" spans="1:3" ht="12.75">
      <c r="A63" s="35"/>
      <c r="C63" s="35"/>
    </row>
    <row r="64" spans="1:3" ht="12.75">
      <c r="A64" s="35"/>
      <c r="C64" s="35"/>
    </row>
    <row r="65" spans="1:3" ht="12.75">
      <c r="A65" s="35"/>
      <c r="C65" s="35"/>
    </row>
    <row r="66" spans="1:3" ht="12.75">
      <c r="A66" s="35"/>
      <c r="C66" s="35"/>
    </row>
    <row r="67" spans="1:3" ht="12.75">
      <c r="A67" s="35"/>
      <c r="C67" s="35"/>
    </row>
    <row r="68" spans="1:3" ht="12.75">
      <c r="A68" s="35"/>
      <c r="C68" s="35"/>
    </row>
    <row r="69" spans="1:3" ht="12.75">
      <c r="A69" s="35"/>
      <c r="C69" s="35"/>
    </row>
    <row r="70" spans="1:3" ht="12.75">
      <c r="A70" s="35"/>
      <c r="C70" s="35"/>
    </row>
    <row r="71" spans="1:3" ht="12.75">
      <c r="A71" s="35"/>
      <c r="C71" s="35"/>
    </row>
    <row r="72" spans="1:3" ht="12.75">
      <c r="A72" s="35"/>
      <c r="C72" s="35"/>
    </row>
    <row r="73" spans="1:3" ht="12.75">
      <c r="A73" s="35"/>
      <c r="C73" s="35"/>
    </row>
    <row r="74" spans="1:3" ht="12.75">
      <c r="A74" s="35"/>
      <c r="C74" s="35"/>
    </row>
    <row r="75" spans="1:3" ht="12.75">
      <c r="A75" s="35"/>
      <c r="C75" s="35"/>
    </row>
    <row r="76" spans="1:3" ht="12.75">
      <c r="A76" s="35"/>
      <c r="C76" s="35"/>
    </row>
    <row r="77" spans="1:3" ht="12.75">
      <c r="A77" s="35"/>
      <c r="C77" s="35"/>
    </row>
    <row r="78" spans="1:3" ht="12.75">
      <c r="A78" s="35"/>
      <c r="C78" s="35"/>
    </row>
    <row r="79" spans="1:3" ht="12.75">
      <c r="A79" s="35"/>
      <c r="C79" s="35"/>
    </row>
    <row r="80" spans="1:3" ht="12.75">
      <c r="A80" s="35"/>
      <c r="C80" s="35"/>
    </row>
    <row r="81" spans="1:3" ht="12.75">
      <c r="A81" s="35"/>
      <c r="C81" s="35"/>
    </row>
    <row r="82" spans="1:3" ht="12.75">
      <c r="A82" s="35"/>
      <c r="C82" s="35"/>
    </row>
    <row r="83" spans="1:3" ht="12.75">
      <c r="A83" s="35"/>
      <c r="C83" s="35"/>
    </row>
    <row r="84" spans="1:3" ht="12.75">
      <c r="A84" s="35"/>
      <c r="C84" s="35"/>
    </row>
    <row r="85" spans="1:3" ht="12.75">
      <c r="A85" s="35"/>
      <c r="C85" s="35"/>
    </row>
    <row r="86" spans="1:3" ht="12.75">
      <c r="A86" s="35"/>
      <c r="C86" s="35"/>
    </row>
    <row r="87" spans="1:3" ht="12.75">
      <c r="A87" s="35"/>
      <c r="C87" s="35"/>
    </row>
    <row r="88" spans="1:3" ht="12.75">
      <c r="A88" s="35"/>
      <c r="C88" s="35"/>
    </row>
    <row r="89" spans="1:3" ht="12.75">
      <c r="A89" s="35"/>
      <c r="C89" s="35"/>
    </row>
    <row r="90" spans="1:3" ht="12.75">
      <c r="A90" s="35"/>
      <c r="C90" s="35"/>
    </row>
    <row r="91" spans="1:3" ht="12.75">
      <c r="A91" s="35"/>
      <c r="C91" s="35"/>
    </row>
    <row r="92" spans="1:3" ht="12.75">
      <c r="A92" s="35"/>
      <c r="C92" s="35"/>
    </row>
    <row r="93" spans="1:3" ht="12.75">
      <c r="A93" s="35"/>
      <c r="C93" s="35"/>
    </row>
    <row r="94" spans="1:3" ht="12.75">
      <c r="A94" s="35"/>
      <c r="C94" s="35"/>
    </row>
    <row r="95" spans="1:3" ht="12.75">
      <c r="A95" s="35"/>
      <c r="C95" s="35"/>
    </row>
    <row r="96" spans="1:3" ht="12.75">
      <c r="A96" s="35"/>
      <c r="C96" s="35"/>
    </row>
    <row r="97" spans="1:3" ht="12.75">
      <c r="A97" s="35"/>
      <c r="C97" s="35"/>
    </row>
    <row r="98" spans="1:3" ht="12.75">
      <c r="A98" s="35"/>
      <c r="C98" s="35"/>
    </row>
    <row r="99" spans="1:3" ht="12.75">
      <c r="A99" s="35"/>
      <c r="C99" s="35"/>
    </row>
    <row r="100" spans="1:3" ht="12.75">
      <c r="A100" s="35"/>
      <c r="C100" s="35"/>
    </row>
    <row r="101" spans="1:3" ht="12.75">
      <c r="A101" s="35"/>
      <c r="C101" s="35"/>
    </row>
    <row r="102" spans="1:3" ht="12.75">
      <c r="A102" s="35"/>
      <c r="C102" s="35"/>
    </row>
    <row r="103" spans="1:3" ht="12.75">
      <c r="A103" s="35"/>
      <c r="C103" s="35"/>
    </row>
    <row r="104" spans="1:3" ht="12.75">
      <c r="A104" s="35"/>
      <c r="C104" s="35"/>
    </row>
    <row r="105" spans="1:3" ht="12.75">
      <c r="A105" s="35"/>
      <c r="C105" s="35"/>
    </row>
    <row r="106" spans="1:3" ht="12.75">
      <c r="A106" s="35"/>
      <c r="C106" s="35"/>
    </row>
    <row r="107" spans="1:3" ht="12.75">
      <c r="A107" s="35"/>
      <c r="C107" s="35"/>
    </row>
    <row r="108" spans="1:3" ht="12.75">
      <c r="A108" s="35"/>
      <c r="C108" s="35"/>
    </row>
    <row r="109" spans="1:3" ht="12.75">
      <c r="A109" s="35"/>
      <c r="C109" s="35"/>
    </row>
    <row r="110" spans="1:3" ht="12.75">
      <c r="A110" s="35"/>
      <c r="C110" s="35"/>
    </row>
    <row r="111" spans="1:3" ht="12.75">
      <c r="A111" s="35"/>
      <c r="C111" s="35"/>
    </row>
    <row r="112" spans="1:3" ht="12.75">
      <c r="A112" s="35"/>
      <c r="C112" s="35"/>
    </row>
    <row r="113" spans="1:3" ht="12.75">
      <c r="A113" s="35"/>
      <c r="C113" s="35"/>
    </row>
    <row r="114" spans="1:3" ht="12.75">
      <c r="A114" s="35"/>
      <c r="C114" s="35"/>
    </row>
    <row r="115" spans="1:3" ht="12.75">
      <c r="A115" s="35"/>
      <c r="C115" s="35"/>
    </row>
    <row r="116" spans="1:3" ht="12.75">
      <c r="A116" s="35"/>
      <c r="C116" s="35"/>
    </row>
    <row r="117" spans="1:3" ht="12.75">
      <c r="A117" s="35"/>
      <c r="C117" s="35"/>
    </row>
    <row r="118" spans="1:3" ht="12.75">
      <c r="A118" s="35"/>
      <c r="C118" s="35"/>
    </row>
    <row r="119" spans="1:3" ht="12.75">
      <c r="A119" s="35"/>
      <c r="C119" s="35"/>
    </row>
    <row r="120" spans="1:3" ht="12.75">
      <c r="A120" s="35"/>
      <c r="C120" s="35"/>
    </row>
    <row r="121" spans="1:3" ht="12.75">
      <c r="A121" s="35"/>
      <c r="C121" s="35"/>
    </row>
    <row r="122" spans="1:3" ht="12.75">
      <c r="A122" s="35"/>
      <c r="C122" s="35"/>
    </row>
    <row r="123" spans="1:3" ht="12.75">
      <c r="A123" s="35"/>
      <c r="C123" s="35"/>
    </row>
    <row r="124" spans="1:3" ht="12.75">
      <c r="A124" s="35"/>
      <c r="C124" s="35"/>
    </row>
    <row r="125" spans="1:3" ht="12.75">
      <c r="A125" s="35"/>
      <c r="C125" s="35"/>
    </row>
    <row r="126" spans="1:3" ht="12.75">
      <c r="A126" s="35"/>
      <c r="C126" s="35"/>
    </row>
    <row r="127" spans="1:3" ht="12.75">
      <c r="A127" s="35"/>
      <c r="C127" s="35"/>
    </row>
    <row r="128" spans="1:3" ht="12.75">
      <c r="A128" s="35"/>
      <c r="C128" s="35"/>
    </row>
    <row r="129" spans="1:3" ht="12.75">
      <c r="A129" s="35"/>
      <c r="C129" s="35"/>
    </row>
    <row r="130" spans="1:3" ht="12.75">
      <c r="A130" s="35"/>
      <c r="C130" s="35"/>
    </row>
    <row r="131" spans="1:3" ht="12.75">
      <c r="A131" s="35"/>
      <c r="C131" s="35"/>
    </row>
    <row r="132" spans="1:3" ht="12.75">
      <c r="A132" s="35"/>
      <c r="C132" s="35"/>
    </row>
    <row r="133" spans="1:3" ht="12.75">
      <c r="A133" s="35"/>
      <c r="C133" s="35"/>
    </row>
    <row r="134" spans="1:3" ht="12.75">
      <c r="A134" s="35"/>
      <c r="C134" s="35"/>
    </row>
    <row r="135" spans="1:3" ht="12.75">
      <c r="A135" s="35"/>
      <c r="C135" s="35"/>
    </row>
    <row r="136" spans="1:3" ht="12.75">
      <c r="A136" s="35"/>
      <c r="C136" s="35"/>
    </row>
    <row r="137" spans="1:3" ht="12.75">
      <c r="A137" s="35"/>
      <c r="C137" s="35"/>
    </row>
    <row r="138" spans="1:3" ht="12.75">
      <c r="A138" s="35"/>
      <c r="C138" s="35"/>
    </row>
    <row r="139" spans="1:3" ht="12.75">
      <c r="A139" s="35"/>
      <c r="C139" s="35"/>
    </row>
    <row r="140" spans="1:3" ht="12.75">
      <c r="A140" s="35"/>
      <c r="C140" s="35"/>
    </row>
    <row r="141" spans="1:3" ht="12.75">
      <c r="A141" s="35"/>
      <c r="C141" s="35"/>
    </row>
    <row r="142" spans="1:3" ht="12.75">
      <c r="A142" s="35"/>
      <c r="C142" s="35"/>
    </row>
    <row r="143" spans="1:3" ht="12.75">
      <c r="A143" s="35"/>
      <c r="C143" s="35"/>
    </row>
    <row r="144" spans="1:3" ht="12.75">
      <c r="A144" s="35"/>
      <c r="C144" s="35"/>
    </row>
    <row r="145" spans="1:3" ht="12.75">
      <c r="A145" s="35"/>
      <c r="C145" s="35"/>
    </row>
    <row r="146" spans="1:3" ht="12.75">
      <c r="A146" s="35"/>
      <c r="C146" s="35"/>
    </row>
    <row r="147" spans="1:3" ht="12.75">
      <c r="A147" s="35"/>
      <c r="C147" s="35"/>
    </row>
    <row r="148" spans="1:3" ht="12.75">
      <c r="A148" s="35"/>
      <c r="C148" s="35"/>
    </row>
    <row r="149" spans="1:3" ht="12.75">
      <c r="A149" s="35"/>
      <c r="C149" s="35"/>
    </row>
    <row r="150" spans="1:3" ht="12.75">
      <c r="A150" s="35"/>
      <c r="C150" s="35"/>
    </row>
    <row r="151" spans="1:3" ht="12.75">
      <c r="A151" s="35"/>
      <c r="C151" s="35"/>
    </row>
    <row r="152" spans="1:3" ht="12.75">
      <c r="A152" s="35"/>
      <c r="C152" s="35"/>
    </row>
    <row r="153" spans="1:3" ht="12.75">
      <c r="A153" s="35"/>
      <c r="C153" s="35"/>
    </row>
    <row r="154" spans="1:3" ht="12.75">
      <c r="A154" s="35"/>
      <c r="C154" s="35"/>
    </row>
    <row r="155" spans="1:3" ht="12.75">
      <c r="A155" s="35"/>
      <c r="C155" s="35"/>
    </row>
    <row r="156" spans="1:3" ht="12.75">
      <c r="A156" s="35"/>
      <c r="C156" s="35"/>
    </row>
    <row r="157" spans="1:3" ht="12.75">
      <c r="A157" s="35"/>
      <c r="C157" s="35"/>
    </row>
    <row r="158" spans="1:3" ht="12.75">
      <c r="A158" s="35"/>
      <c r="C158" s="35"/>
    </row>
    <row r="159" spans="1:3" ht="12.75">
      <c r="A159" s="35"/>
      <c r="C159" s="35"/>
    </row>
    <row r="160" spans="1:3" ht="12.75">
      <c r="A160" s="35"/>
      <c r="C160" s="35"/>
    </row>
    <row r="161" spans="1:3" ht="12.75">
      <c r="A161" s="35"/>
      <c r="C161" s="35"/>
    </row>
    <row r="162" spans="1:3" ht="12.75">
      <c r="A162" s="35"/>
      <c r="C162" s="35"/>
    </row>
    <row r="163" spans="1:3" ht="12.75">
      <c r="A163" s="35"/>
      <c r="C163" s="35"/>
    </row>
    <row r="164" spans="1:3" ht="12.75">
      <c r="A164" s="35"/>
      <c r="C164" s="35"/>
    </row>
    <row r="165" spans="1:3" ht="12.75">
      <c r="A165" s="35"/>
      <c r="C165" s="35"/>
    </row>
    <row r="166" spans="1:3" ht="12.75">
      <c r="A166" s="35"/>
      <c r="C166" s="35"/>
    </row>
    <row r="167" spans="1:3" ht="12.75">
      <c r="A167" s="35"/>
      <c r="C167" s="35"/>
    </row>
    <row r="168" spans="1:3" ht="12.75">
      <c r="A168" s="35"/>
      <c r="C168" s="35"/>
    </row>
    <row r="169" spans="1:3" ht="12.75">
      <c r="A169" s="35"/>
      <c r="C169" s="35"/>
    </row>
    <row r="170" spans="1:3" ht="12.75">
      <c r="A170" s="35"/>
      <c r="C170" s="35"/>
    </row>
    <row r="171" spans="1:3" ht="12.75">
      <c r="A171" s="35"/>
      <c r="C171" s="35"/>
    </row>
    <row r="172" spans="1:3" ht="12.75">
      <c r="A172" s="35"/>
      <c r="C172" s="35"/>
    </row>
    <row r="173" spans="1:3" ht="12.75">
      <c r="A173" s="35"/>
      <c r="C173" s="35"/>
    </row>
    <row r="174" spans="1:3" ht="12.75">
      <c r="A174" s="35"/>
      <c r="C174" s="35"/>
    </row>
    <row r="175" spans="1:3" ht="12.75">
      <c r="A175" s="35"/>
      <c r="C175" s="35"/>
    </row>
    <row r="176" spans="1:3" ht="12.75">
      <c r="A176" s="35"/>
      <c r="C176" s="35"/>
    </row>
    <row r="177" spans="1:3" ht="12.75">
      <c r="A177" s="35"/>
      <c r="C177" s="35"/>
    </row>
    <row r="178" spans="1:3" ht="12.75">
      <c r="A178" s="35"/>
      <c r="C178" s="35"/>
    </row>
    <row r="179" spans="1:3" ht="12.75">
      <c r="A179" s="35"/>
      <c r="C179" s="35"/>
    </row>
    <row r="180" spans="1:3" ht="12.75">
      <c r="A180" s="35"/>
      <c r="C180" s="35"/>
    </row>
    <row r="181" spans="1:3" ht="12.75">
      <c r="A181" s="35"/>
      <c r="C181" s="35"/>
    </row>
    <row r="182" spans="1:3" ht="12.75">
      <c r="A182" s="35"/>
      <c r="C182" s="35"/>
    </row>
    <row r="183" spans="1:3" ht="12.75">
      <c r="A183" s="35"/>
      <c r="C183" s="35"/>
    </row>
    <row r="184" spans="1:3" ht="12.75">
      <c r="A184" s="35"/>
      <c r="C184" s="35"/>
    </row>
    <row r="185" spans="1:3" ht="12.75">
      <c r="A185" s="35"/>
      <c r="C185" s="35"/>
    </row>
    <row r="186" spans="1:3" ht="12.75">
      <c r="A186" s="35"/>
      <c r="C186" s="35"/>
    </row>
    <row r="187" spans="1:3" ht="12.75">
      <c r="A187" s="35"/>
      <c r="C187" s="35"/>
    </row>
    <row r="188" spans="1:3" ht="12.75">
      <c r="A188" s="35"/>
      <c r="C188" s="35"/>
    </row>
    <row r="189" spans="1:3" ht="12.75">
      <c r="A189" s="35"/>
      <c r="C189" s="35"/>
    </row>
    <row r="190" spans="1:3" ht="12.75">
      <c r="A190" s="35"/>
      <c r="C190" s="35"/>
    </row>
    <row r="191" spans="1:3" ht="12.75">
      <c r="A191" s="35"/>
      <c r="C191" s="35"/>
    </row>
    <row r="192" spans="1:3" ht="12.75">
      <c r="A192" s="35"/>
      <c r="C192" s="35"/>
    </row>
    <row r="193" spans="1:3" ht="12.75">
      <c r="A193" s="35"/>
      <c r="C193" s="35"/>
    </row>
    <row r="194" spans="1:3" ht="12.75">
      <c r="A194" s="35"/>
      <c r="C194" s="35"/>
    </row>
    <row r="195" spans="1:3" ht="12.75">
      <c r="A195" s="35"/>
      <c r="C195" s="35"/>
    </row>
    <row r="196" spans="1:3" ht="12.75">
      <c r="A196" s="35"/>
      <c r="C196" s="35"/>
    </row>
    <row r="197" spans="1:3" ht="12.75">
      <c r="A197" s="35"/>
      <c r="C197" s="35"/>
    </row>
    <row r="198" spans="1:3" ht="12.75">
      <c r="A198" s="35"/>
      <c r="C198" s="35"/>
    </row>
    <row r="199" spans="1:3" ht="12.75">
      <c r="A199" s="35"/>
      <c r="C199" s="35"/>
    </row>
    <row r="200" spans="1:3" ht="12.75">
      <c r="A200" s="35"/>
      <c r="C200" s="35"/>
    </row>
    <row r="201" spans="1:3" ht="12.75">
      <c r="A201" s="35"/>
      <c r="C201" s="35"/>
    </row>
    <row r="202" spans="1:3" ht="12.75">
      <c r="A202" s="35"/>
      <c r="C202" s="35"/>
    </row>
    <row r="203" spans="1:3" ht="12.75">
      <c r="A203" s="35"/>
      <c r="C203" s="35"/>
    </row>
    <row r="204" spans="1:3" ht="12.75">
      <c r="A204" s="35"/>
      <c r="C204" s="35"/>
    </row>
    <row r="205" spans="1:3" ht="12.75">
      <c r="A205" s="35"/>
      <c r="C205" s="35"/>
    </row>
    <row r="206" spans="1:3" ht="12.75">
      <c r="A206" s="35"/>
      <c r="C206" s="35"/>
    </row>
    <row r="207" spans="1:3" ht="12.75">
      <c r="A207" s="35"/>
      <c r="C207" s="35"/>
    </row>
    <row r="208" spans="1:3" ht="12.75">
      <c r="A208" s="35"/>
      <c r="C208" s="35"/>
    </row>
    <row r="209" spans="1:3" ht="12.75">
      <c r="A209" s="35"/>
      <c r="C209" s="35"/>
    </row>
    <row r="210" spans="1:3" ht="12.75">
      <c r="A210" s="35"/>
      <c r="C210" s="35"/>
    </row>
    <row r="211" spans="1:3" ht="12.75">
      <c r="A211" s="35"/>
      <c r="C211" s="35"/>
    </row>
    <row r="212" spans="1:3" ht="12.75">
      <c r="A212" s="35"/>
      <c r="C212" s="35"/>
    </row>
    <row r="213" spans="1:3" ht="12.75">
      <c r="A213" s="35"/>
      <c r="C213" s="35"/>
    </row>
    <row r="214" spans="1:3" ht="12.75">
      <c r="A214" s="35"/>
      <c r="C214" s="35"/>
    </row>
    <row r="215" spans="1:3" ht="12.75">
      <c r="A215" s="35"/>
      <c r="C215" s="35"/>
    </row>
    <row r="216" spans="1:3" ht="12.75">
      <c r="A216" s="35"/>
      <c r="C216" s="35"/>
    </row>
    <row r="217" spans="1:3" ht="12.75">
      <c r="A217" s="35"/>
      <c r="C217" s="35"/>
    </row>
    <row r="218" spans="1:3" ht="12.75">
      <c r="A218" s="35"/>
      <c r="C218" s="35"/>
    </row>
    <row r="219" spans="1:3" ht="12.75">
      <c r="A219" s="35"/>
      <c r="C219" s="35"/>
    </row>
    <row r="220" spans="1:3" ht="12.75">
      <c r="A220" s="35"/>
      <c r="C220" s="35"/>
    </row>
    <row r="221" spans="1:3" ht="12.75">
      <c r="A221" s="35"/>
      <c r="C221" s="35"/>
    </row>
    <row r="222" spans="1:3" ht="12.75">
      <c r="A222" s="35"/>
      <c r="C222" s="35"/>
    </row>
    <row r="223" spans="1:3" ht="12.75">
      <c r="A223" s="35"/>
      <c r="C223" s="35"/>
    </row>
    <row r="224" spans="1:3" ht="12.75">
      <c r="A224" s="35"/>
      <c r="C224" s="35"/>
    </row>
    <row r="225" spans="1:3" ht="12.75">
      <c r="A225" s="35"/>
      <c r="C225" s="35"/>
    </row>
    <row r="226" spans="1:3" ht="12.75">
      <c r="A226" s="35"/>
      <c r="C226" s="35"/>
    </row>
    <row r="227" spans="1:3" ht="12.75">
      <c r="A227" s="35"/>
      <c r="C227" s="35"/>
    </row>
    <row r="228" spans="1:3" ht="12.75">
      <c r="A228" s="35"/>
      <c r="C228" s="35"/>
    </row>
    <row r="229" spans="1:3" ht="12.75">
      <c r="A229" s="35"/>
      <c r="C229" s="35"/>
    </row>
    <row r="230" spans="1:3" ht="12.75">
      <c r="A230" s="35"/>
      <c r="C230" s="35"/>
    </row>
    <row r="231" spans="1:3" ht="12.75">
      <c r="A231" s="35"/>
      <c r="C231" s="35"/>
    </row>
    <row r="232" spans="1:3" ht="12.75">
      <c r="A232" s="35"/>
      <c r="C232" s="35"/>
    </row>
    <row r="233" spans="1:3" ht="12.75">
      <c r="A233" s="35"/>
      <c r="C233" s="35"/>
    </row>
    <row r="234" spans="1:3" ht="12.75">
      <c r="A234" s="35"/>
      <c r="C234" s="35"/>
    </row>
    <row r="235" spans="1:3" ht="12.75">
      <c r="A235" s="35"/>
      <c r="C235" s="35"/>
    </row>
    <row r="236" spans="1:3" ht="12.75">
      <c r="A236" s="35"/>
      <c r="C236" s="35"/>
    </row>
    <row r="237" spans="1:3" ht="12.75">
      <c r="A237" s="35"/>
      <c r="C237" s="35"/>
    </row>
    <row r="238" spans="1:3" ht="12.75">
      <c r="A238" s="35"/>
      <c r="C238" s="35"/>
    </row>
    <row r="239" spans="1:3" ht="12.75">
      <c r="A239" s="35"/>
      <c r="C239" s="35"/>
    </row>
    <row r="240" spans="1:3" ht="12.75">
      <c r="A240" s="35"/>
      <c r="C240" s="35"/>
    </row>
    <row r="241" spans="1:3" ht="12.75">
      <c r="A241" s="35"/>
      <c r="C241" s="35"/>
    </row>
    <row r="242" spans="1:3" ht="12.75">
      <c r="A242" s="35"/>
      <c r="C242" s="35"/>
    </row>
    <row r="243" spans="1:3" ht="12.75">
      <c r="A243" s="35"/>
      <c r="C243" s="35"/>
    </row>
    <row r="244" spans="1:3" ht="12.75">
      <c r="A244" s="35"/>
      <c r="C244" s="35"/>
    </row>
    <row r="245" spans="1:3" ht="12.75">
      <c r="A245" s="35"/>
      <c r="C245" s="35"/>
    </row>
    <row r="246" spans="1:3" ht="12.75">
      <c r="A246" s="35"/>
      <c r="C246" s="35"/>
    </row>
    <row r="247" spans="1:3" ht="12.75">
      <c r="A247" s="35"/>
      <c r="C247" s="35"/>
    </row>
    <row r="248" spans="1:3" ht="12.75">
      <c r="A248" s="35"/>
      <c r="C248" s="35"/>
    </row>
    <row r="249" spans="1:3" ht="12.75">
      <c r="A249" s="35"/>
      <c r="C249" s="35"/>
    </row>
    <row r="250" spans="1:3" ht="12.75">
      <c r="A250" s="35"/>
      <c r="C250" s="35"/>
    </row>
    <row r="251" spans="1:3" ht="12.75">
      <c r="A251" s="35"/>
      <c r="C251" s="35"/>
    </row>
    <row r="252" spans="1:3" ht="12.75">
      <c r="A252" s="35"/>
      <c r="C252" s="35"/>
    </row>
    <row r="253" spans="1:3" ht="12.75">
      <c r="A253" s="35"/>
      <c r="C253" s="35"/>
    </row>
    <row r="254" spans="1:3" ht="12.75">
      <c r="A254" s="35"/>
      <c r="C254" s="35"/>
    </row>
    <row r="255" spans="1:3" ht="12.75">
      <c r="A255" s="35"/>
      <c r="C255" s="35"/>
    </row>
    <row r="256" spans="1:3" ht="12.75">
      <c r="A256" s="35"/>
      <c r="C256" s="35"/>
    </row>
    <row r="257" spans="1:3" ht="12.75">
      <c r="A257" s="35"/>
      <c r="C257" s="35"/>
    </row>
    <row r="258" spans="1:3" ht="12.75">
      <c r="A258" s="35"/>
      <c r="C258" s="35"/>
    </row>
    <row r="259" spans="1:3" ht="12.75">
      <c r="A259" s="35"/>
      <c r="C259" s="35"/>
    </row>
    <row r="260" spans="1:3" ht="12.75">
      <c r="A260" s="35"/>
      <c r="C260" s="35"/>
    </row>
    <row r="261" spans="1:3" ht="12.75">
      <c r="A261" s="35"/>
      <c r="C261" s="35"/>
    </row>
    <row r="262" spans="1:3" ht="12.75">
      <c r="A262" s="35"/>
      <c r="C262" s="35"/>
    </row>
    <row r="263" spans="1:3" ht="12.75">
      <c r="A263" s="35"/>
      <c r="C263" s="35"/>
    </row>
    <row r="264" spans="1:3" ht="12.75">
      <c r="A264" s="35"/>
      <c r="C264" s="35"/>
    </row>
    <row r="265" spans="1:3" ht="12.75">
      <c r="A265" s="35"/>
      <c r="C265" s="35"/>
    </row>
    <row r="266" spans="1:3" ht="12.75">
      <c r="A266" s="35"/>
      <c r="C266" s="35"/>
    </row>
    <row r="267" spans="1:3" ht="12.75">
      <c r="A267" s="35"/>
      <c r="C267" s="35"/>
    </row>
    <row r="268" spans="1:3" ht="12.75">
      <c r="A268" s="35"/>
      <c r="C268" s="35"/>
    </row>
    <row r="269" spans="1:3" ht="12.75">
      <c r="A269" s="35"/>
      <c r="C269" s="35"/>
    </row>
    <row r="270" spans="1:3" ht="12.75">
      <c r="A270" s="35"/>
      <c r="C270" s="35"/>
    </row>
    <row r="271" spans="1:3" ht="12.75">
      <c r="A271" s="35"/>
      <c r="C271" s="35"/>
    </row>
    <row r="272" spans="1:3" ht="12.75">
      <c r="A272" s="35"/>
      <c r="C272" s="35"/>
    </row>
    <row r="273" spans="1:3" ht="12.75">
      <c r="A273" s="35"/>
      <c r="C273" s="35"/>
    </row>
    <row r="274" spans="1:3" ht="12.75">
      <c r="A274" s="35"/>
      <c r="C274" s="35"/>
    </row>
    <row r="275" spans="1:3" ht="12.75">
      <c r="A275" s="35"/>
      <c r="C275" s="35"/>
    </row>
    <row r="276" spans="1:3" ht="12.75">
      <c r="A276" s="35"/>
      <c r="C276" s="35"/>
    </row>
    <row r="277" spans="1:3" ht="12.75">
      <c r="A277" s="35"/>
      <c r="C277" s="35"/>
    </row>
    <row r="278" spans="1:3" ht="12.75">
      <c r="A278" s="35"/>
      <c r="C278" s="35"/>
    </row>
    <row r="279" spans="1:3" ht="12.75">
      <c r="A279" s="35"/>
      <c r="C279" s="35"/>
    </row>
    <row r="280" spans="1:3" ht="12.75">
      <c r="A280" s="35"/>
      <c r="C280" s="35"/>
    </row>
    <row r="281" spans="1:3" ht="12.75">
      <c r="A281" s="35"/>
      <c r="C281" s="35"/>
    </row>
    <row r="282" spans="1:3" ht="12.75">
      <c r="A282" s="35"/>
      <c r="C282" s="35"/>
    </row>
    <row r="283" spans="1:3" ht="12.75">
      <c r="A283" s="35"/>
      <c r="C283" s="35"/>
    </row>
    <row r="284" spans="1:3" ht="12.75">
      <c r="A284" s="35"/>
      <c r="C284" s="35"/>
    </row>
    <row r="285" spans="1:3" ht="12.75">
      <c r="A285" s="35"/>
      <c r="C285" s="35"/>
    </row>
    <row r="286" spans="1:3" ht="12.75">
      <c r="A286" s="35"/>
      <c r="C286" s="35"/>
    </row>
    <row r="287" spans="1:3" ht="12.75">
      <c r="A287" s="35"/>
      <c r="C287" s="35"/>
    </row>
    <row r="288" spans="1:3" ht="12.75">
      <c r="A288" s="35"/>
      <c r="C288" s="35"/>
    </row>
    <row r="289" spans="1:3" ht="12.75">
      <c r="A289" s="35"/>
      <c r="C289" s="35"/>
    </row>
    <row r="290" spans="1:3" ht="12.75">
      <c r="A290" s="35"/>
      <c r="C290" s="35"/>
    </row>
    <row r="291" spans="1:3" ht="12.75">
      <c r="A291" s="35"/>
      <c r="C291" s="35"/>
    </row>
    <row r="292" spans="1:3" ht="12.75">
      <c r="A292" s="35"/>
      <c r="C292" s="35"/>
    </row>
    <row r="293" spans="1:3" ht="12.75">
      <c r="A293" s="35"/>
      <c r="C293" s="35"/>
    </row>
    <row r="294" spans="1:3" ht="12.75">
      <c r="A294" s="35"/>
      <c r="C294" s="35"/>
    </row>
    <row r="295" spans="1:3" ht="12.75">
      <c r="A295" s="35"/>
      <c r="C295" s="35"/>
    </row>
    <row r="296" spans="1:3" ht="12.75">
      <c r="A296" s="35"/>
      <c r="C296" s="35"/>
    </row>
    <row r="297" spans="1:3" ht="12.75">
      <c r="A297" s="35"/>
      <c r="C297" s="35"/>
    </row>
    <row r="298" spans="1:3" ht="12.75">
      <c r="A298" s="35"/>
      <c r="C298" s="35"/>
    </row>
    <row r="299" spans="1:3" ht="12.75">
      <c r="A299" s="35"/>
      <c r="C299" s="35"/>
    </row>
    <row r="300" spans="1:3" ht="12.75">
      <c r="A300" s="35"/>
      <c r="C300" s="35"/>
    </row>
    <row r="301" spans="1:3" ht="12.75">
      <c r="A301" s="35"/>
      <c r="C301" s="35"/>
    </row>
    <row r="302" spans="1:3" ht="12.75">
      <c r="A302" s="35"/>
      <c r="C302" s="35"/>
    </row>
    <row r="303" spans="1:3" ht="12.75">
      <c r="A303" s="35"/>
      <c r="C303" s="35"/>
    </row>
    <row r="304" spans="1:3" ht="12.75">
      <c r="A304" s="35"/>
      <c r="C304" s="35"/>
    </row>
    <row r="305" spans="1:3" ht="12.75">
      <c r="A305" s="35"/>
      <c r="C305" s="35"/>
    </row>
    <row r="306" spans="1:3" ht="12.75">
      <c r="A306" s="35"/>
      <c r="C306" s="35"/>
    </row>
    <row r="307" spans="1:3" ht="12.75">
      <c r="A307" s="35"/>
      <c r="C307" s="35"/>
    </row>
    <row r="308" spans="1:3" ht="12.75">
      <c r="A308" s="35"/>
      <c r="C308" s="35"/>
    </row>
    <row r="309" spans="1:3" ht="12.75">
      <c r="A309" s="35"/>
      <c r="C309" s="35"/>
    </row>
    <row r="310" spans="1:3" ht="12.75">
      <c r="A310" s="35"/>
      <c r="C310" s="35"/>
    </row>
    <row r="311" spans="1:3" ht="12.75">
      <c r="A311" s="35"/>
      <c r="C311" s="35"/>
    </row>
    <row r="312" spans="1:3" ht="12.75">
      <c r="A312" s="35"/>
      <c r="C312" s="35"/>
    </row>
    <row r="313" spans="1:3" ht="12.75">
      <c r="A313" s="35"/>
      <c r="C313" s="35"/>
    </row>
    <row r="314" spans="1:3" ht="12.75">
      <c r="A314" s="35"/>
      <c r="C314" s="35"/>
    </row>
    <row r="315" spans="1:3" ht="12.75">
      <c r="A315" s="35"/>
      <c r="C315" s="35"/>
    </row>
    <row r="316" spans="1:3" ht="12.75">
      <c r="A316" s="35"/>
      <c r="C316" s="35"/>
    </row>
    <row r="317" spans="1:3" ht="12.75">
      <c r="A317" s="35"/>
      <c r="C317" s="35"/>
    </row>
    <row r="318" spans="1:3" ht="12.75">
      <c r="A318" s="35"/>
      <c r="C318" s="35"/>
    </row>
    <row r="319" spans="1:3" ht="12.75">
      <c r="A319" s="35"/>
      <c r="C319" s="35"/>
    </row>
    <row r="320" spans="1:3" ht="12.75">
      <c r="A320" s="35"/>
      <c r="C320" s="35"/>
    </row>
    <row r="321" spans="1:3" ht="12.75">
      <c r="A321" s="35"/>
      <c r="C321" s="35"/>
    </row>
    <row r="322" spans="1:3" ht="12.75">
      <c r="A322" s="35"/>
      <c r="C322" s="35"/>
    </row>
    <row r="323" spans="1:3" ht="12.75">
      <c r="A323" s="35"/>
      <c r="C323" s="35"/>
    </row>
    <row r="324" spans="1:3" ht="12.75">
      <c r="A324" s="35"/>
      <c r="C324" s="35"/>
    </row>
    <row r="325" spans="1:3" ht="12.75">
      <c r="A325" s="35"/>
      <c r="C325" s="35"/>
    </row>
    <row r="326" spans="1:3" ht="12.75">
      <c r="A326" s="35"/>
      <c r="C326" s="35"/>
    </row>
    <row r="327" spans="1:3" ht="12.75">
      <c r="A327" s="35"/>
      <c r="C327" s="35"/>
    </row>
    <row r="328" spans="1:3" ht="12.75">
      <c r="A328" s="35"/>
      <c r="C328" s="35"/>
    </row>
    <row r="329" spans="1:3" ht="12.75">
      <c r="A329" s="35"/>
      <c r="C329" s="35"/>
    </row>
    <row r="330" spans="1:3" ht="12.75">
      <c r="A330" s="35"/>
      <c r="C330" s="35"/>
    </row>
    <row r="331" spans="1:3" ht="12.75">
      <c r="A331" s="35"/>
      <c r="C331" s="35"/>
    </row>
    <row r="332" spans="1:3" ht="12.75">
      <c r="A332" s="35"/>
      <c r="C332" s="35"/>
    </row>
    <row r="333" spans="1:3" ht="12.75">
      <c r="A333" s="35"/>
      <c r="C333" s="35"/>
    </row>
    <row r="334" spans="1:3" ht="12.75">
      <c r="A334" s="35"/>
      <c r="C334" s="35"/>
    </row>
    <row r="335" spans="1:3" ht="12.75">
      <c r="A335" s="35"/>
      <c r="C335" s="35"/>
    </row>
    <row r="336" spans="1:3" ht="12.75">
      <c r="A336" s="35"/>
      <c r="C336" s="35"/>
    </row>
    <row r="337" spans="1:3" ht="12.75">
      <c r="A337" s="35"/>
      <c r="C337" s="35"/>
    </row>
    <row r="338" spans="1:3" ht="12.75">
      <c r="A338" s="35"/>
      <c r="C338" s="35"/>
    </row>
    <row r="339" spans="1:3" ht="12.75">
      <c r="A339" s="35"/>
      <c r="C339" s="35"/>
    </row>
    <row r="340" spans="1:3" ht="12.75">
      <c r="A340" s="35"/>
      <c r="C340" s="35"/>
    </row>
    <row r="341" spans="1:3" ht="12.75">
      <c r="A341" s="35"/>
      <c r="C341" s="35"/>
    </row>
    <row r="342" spans="1:3" ht="12.75">
      <c r="A342" s="35"/>
      <c r="C342" s="35"/>
    </row>
    <row r="343" spans="1:3" ht="12.75">
      <c r="A343" s="35"/>
      <c r="C343" s="35"/>
    </row>
    <row r="344" spans="1:3" ht="12.75">
      <c r="A344" s="35"/>
      <c r="C344" s="35"/>
    </row>
    <row r="345" spans="1:3" ht="12.75">
      <c r="A345" s="35"/>
      <c r="C345" s="35"/>
    </row>
    <row r="346" spans="1:3" ht="12.75">
      <c r="A346" s="35"/>
      <c r="C346" s="35"/>
    </row>
    <row r="347" spans="1:3" ht="12.75">
      <c r="A347" s="35"/>
      <c r="C347" s="35"/>
    </row>
    <row r="348" spans="1:3" ht="12.75">
      <c r="A348" s="35"/>
      <c r="C348" s="35"/>
    </row>
    <row r="349" spans="1:3" ht="12.75">
      <c r="A349" s="35"/>
      <c r="C349" s="35"/>
    </row>
    <row r="350" spans="1:3" ht="12.75">
      <c r="A350" s="35"/>
      <c r="C350" s="35"/>
    </row>
    <row r="351" spans="1:3" ht="12.75">
      <c r="A351" s="35"/>
      <c r="C351" s="35"/>
    </row>
    <row r="352" spans="1:3" ht="12.75">
      <c r="A352" s="35"/>
      <c r="C352" s="35"/>
    </row>
    <row r="353" spans="1:3" ht="12.75">
      <c r="A353" s="35"/>
      <c r="C353" s="35"/>
    </row>
    <row r="354" spans="1:3" ht="12.75">
      <c r="A354" s="35"/>
      <c r="C354" s="35"/>
    </row>
    <row r="355" spans="1:3" ht="12.75">
      <c r="A355" s="35"/>
      <c r="C355" s="35"/>
    </row>
    <row r="356" spans="1:3" ht="12.75">
      <c r="A356" s="35"/>
      <c r="C356" s="35"/>
    </row>
    <row r="357" spans="1:3" ht="12.75">
      <c r="A357" s="35"/>
      <c r="C357" s="35"/>
    </row>
    <row r="358" spans="1:3" ht="12.75">
      <c r="A358" s="35"/>
      <c r="C358" s="35"/>
    </row>
    <row r="359" spans="1:3" ht="12.75">
      <c r="A359" s="35"/>
      <c r="C359" s="35"/>
    </row>
    <row r="360" spans="1:3" ht="12.75">
      <c r="A360" s="35"/>
      <c r="C360" s="35"/>
    </row>
    <row r="361" spans="1:3" ht="12.75">
      <c r="A361" s="35"/>
      <c r="C361" s="35"/>
    </row>
    <row r="362" spans="1:3" ht="12.75">
      <c r="A362" s="35"/>
      <c r="C362" s="35"/>
    </row>
    <row r="363" spans="1:3" ht="12.75">
      <c r="A363" s="35"/>
      <c r="C363" s="35"/>
    </row>
    <row r="364" spans="1:3" ht="12.75">
      <c r="A364" s="35"/>
      <c r="C364" s="35"/>
    </row>
    <row r="365" spans="1:3" ht="12.75">
      <c r="A365" s="35"/>
      <c r="C365" s="35"/>
    </row>
    <row r="366" spans="1:3" ht="12.75">
      <c r="A366" s="35"/>
      <c r="C366" s="35"/>
    </row>
    <row r="367" spans="1:3" ht="12.75">
      <c r="A367" s="35"/>
      <c r="C367" s="35"/>
    </row>
    <row r="368" spans="1:3" ht="12.75">
      <c r="A368" s="35"/>
      <c r="C368" s="35"/>
    </row>
    <row r="369" spans="1:3" ht="12.75">
      <c r="A369" s="35"/>
      <c r="C369" s="35"/>
    </row>
    <row r="370" spans="1:3" ht="12.75">
      <c r="A370" s="35"/>
      <c r="C370" s="35"/>
    </row>
    <row r="371" spans="1:3" ht="12.75">
      <c r="A371" s="35"/>
      <c r="C371" s="35"/>
    </row>
    <row r="372" spans="1:3" ht="12.75">
      <c r="A372" s="35"/>
      <c r="C372" s="35"/>
    </row>
    <row r="373" spans="1:3" ht="12.75">
      <c r="A373" s="35"/>
      <c r="C373" s="35"/>
    </row>
    <row r="374" spans="1:3" ht="12.75">
      <c r="A374" s="35"/>
      <c r="C374" s="35"/>
    </row>
    <row r="375" spans="1:3" ht="12.75">
      <c r="A375" s="35"/>
      <c r="C375" s="35"/>
    </row>
    <row r="376" spans="1:3" ht="12.75">
      <c r="A376" s="35"/>
      <c r="C376" s="35"/>
    </row>
    <row r="377" spans="1:3" ht="12.75">
      <c r="A377" s="35"/>
      <c r="C377" s="35"/>
    </row>
    <row r="378" spans="1:3" ht="12.75">
      <c r="A378" s="35"/>
      <c r="C378" s="35"/>
    </row>
    <row r="379" spans="1:3" ht="12.75">
      <c r="A379" s="35"/>
      <c r="C379" s="35"/>
    </row>
    <row r="380" spans="1:3" ht="12.75">
      <c r="A380" s="35"/>
      <c r="C380" s="35"/>
    </row>
    <row r="381" spans="1:3" ht="12.75">
      <c r="A381" s="35"/>
      <c r="C381" s="35"/>
    </row>
    <row r="382" spans="1:3" ht="12.75">
      <c r="A382" s="35"/>
      <c r="C382" s="35"/>
    </row>
    <row r="383" spans="1:3" ht="12.75">
      <c r="A383" s="35"/>
      <c r="C383" s="35"/>
    </row>
    <row r="384" spans="1:3" ht="12.75">
      <c r="A384" s="35"/>
      <c r="C384" s="35"/>
    </row>
    <row r="385" spans="1:3" ht="12.75">
      <c r="A385" s="35"/>
      <c r="C385" s="35"/>
    </row>
    <row r="386" spans="1:3" ht="12.75">
      <c r="A386" s="35"/>
      <c r="C386" s="35"/>
    </row>
    <row r="387" spans="1:3" ht="12.75">
      <c r="A387" s="35"/>
      <c r="C387" s="35"/>
    </row>
    <row r="388" spans="1:3" ht="12.75">
      <c r="A388" s="35"/>
      <c r="C388" s="35"/>
    </row>
    <row r="389" spans="1:3" ht="12.75">
      <c r="A389" s="35"/>
      <c r="C389" s="35"/>
    </row>
    <row r="390" spans="1:3" ht="12.75">
      <c r="A390" s="35"/>
      <c r="C390" s="35"/>
    </row>
    <row r="391" spans="1:3" ht="12.75">
      <c r="A391" s="35"/>
      <c r="C391" s="35"/>
    </row>
    <row r="392" spans="1:3" ht="12.75">
      <c r="A392" s="35"/>
      <c r="C392" s="35"/>
    </row>
    <row r="393" spans="1:3" ht="12.75">
      <c r="A393" s="35"/>
      <c r="C393" s="35"/>
    </row>
    <row r="394" spans="1:3" ht="12.75">
      <c r="A394" s="35"/>
      <c r="C394" s="35"/>
    </row>
    <row r="395" spans="1:3" ht="12.75">
      <c r="A395" s="35"/>
      <c r="C395" s="35"/>
    </row>
    <row r="396" spans="1:3" ht="12.75">
      <c r="A396" s="35"/>
      <c r="C396" s="35"/>
    </row>
    <row r="397" spans="1:3" ht="12.75">
      <c r="A397" s="35"/>
      <c r="C397" s="35"/>
    </row>
    <row r="398" spans="1:3" ht="12.75">
      <c r="A398" s="35"/>
      <c r="C398" s="35"/>
    </row>
    <row r="399" spans="1:3" ht="12.75">
      <c r="A399" s="35"/>
      <c r="C399" s="35"/>
    </row>
    <row r="400" spans="1:3" ht="12.75">
      <c r="A400" s="35"/>
      <c r="C400" s="35"/>
    </row>
    <row r="401" spans="1:3" ht="12.75">
      <c r="A401" s="35"/>
      <c r="C401" s="35"/>
    </row>
    <row r="402" spans="1:3" ht="12.75">
      <c r="A402" s="35"/>
      <c r="C402" s="35"/>
    </row>
    <row r="403" spans="1:3" ht="12.75">
      <c r="A403" s="35"/>
      <c r="C403" s="35"/>
    </row>
    <row r="404" spans="1:3" ht="12.75">
      <c r="A404" s="35"/>
      <c r="C404" s="35"/>
    </row>
    <row r="405" spans="1:3" ht="12.75">
      <c r="A405" s="35"/>
      <c r="C405" s="35"/>
    </row>
    <row r="406" spans="1:3" ht="12.75">
      <c r="A406" s="35"/>
      <c r="C406" s="35"/>
    </row>
    <row r="407" spans="1:3" ht="12.75">
      <c r="A407" s="35"/>
      <c r="C407" s="35"/>
    </row>
    <row r="408" spans="1:3" ht="12.75">
      <c r="A408" s="35"/>
      <c r="C408" s="35"/>
    </row>
    <row r="409" spans="1:3" ht="12.75">
      <c r="A409" s="35"/>
      <c r="C409" s="35"/>
    </row>
    <row r="410" spans="1:3" ht="12.75">
      <c r="A410" s="35"/>
      <c r="C410" s="35"/>
    </row>
    <row r="411" spans="1:3" ht="12.75">
      <c r="A411" s="35"/>
      <c r="C411" s="35"/>
    </row>
    <row r="412" spans="1:3" ht="12.75">
      <c r="A412" s="35"/>
      <c r="C412" s="35"/>
    </row>
    <row r="413" spans="1:3" ht="12.75">
      <c r="A413" s="35"/>
      <c r="C413" s="35"/>
    </row>
    <row r="414" spans="1:3" ht="12.75">
      <c r="A414" s="35"/>
      <c r="C414" s="35"/>
    </row>
    <row r="415" spans="1:3" ht="12.75">
      <c r="A415" s="35"/>
      <c r="C415" s="35"/>
    </row>
    <row r="416" spans="1:3" ht="12.75">
      <c r="A416" s="35"/>
      <c r="C416" s="35"/>
    </row>
    <row r="417" spans="1:3" ht="12.75">
      <c r="A417" s="35"/>
      <c r="C417" s="35"/>
    </row>
    <row r="418" spans="1:3" ht="12.75">
      <c r="A418" s="35"/>
      <c r="C418" s="35"/>
    </row>
    <row r="419" spans="1:3" ht="12.75">
      <c r="A419" s="35"/>
      <c r="C419" s="35"/>
    </row>
    <row r="420" spans="1:3" ht="12.75">
      <c r="A420" s="35"/>
      <c r="C420" s="35"/>
    </row>
    <row r="421" spans="1:3" ht="12.75">
      <c r="A421" s="35"/>
      <c r="C421" s="35"/>
    </row>
    <row r="422" spans="1:3" ht="12.75">
      <c r="A422" s="35"/>
      <c r="C422" s="35"/>
    </row>
    <row r="423" spans="1:3" ht="12.75">
      <c r="A423" s="35"/>
      <c r="C423" s="35"/>
    </row>
    <row r="424" spans="1:3" ht="12.75">
      <c r="A424" s="35"/>
      <c r="C424" s="35"/>
    </row>
    <row r="425" spans="1:3" ht="12.75">
      <c r="A425" s="35"/>
      <c r="C425" s="35"/>
    </row>
    <row r="426" spans="1:3" ht="12.75">
      <c r="A426" s="35"/>
      <c r="C426" s="35"/>
    </row>
    <row r="427" spans="1:3" ht="12.75">
      <c r="A427" s="35"/>
      <c r="C427" s="35"/>
    </row>
    <row r="428" spans="1:3" ht="12.75">
      <c r="A428" s="35"/>
      <c r="C428" s="35"/>
    </row>
    <row r="429" spans="1:3" ht="12.75">
      <c r="A429" s="35"/>
      <c r="C429" s="35"/>
    </row>
    <row r="430" spans="1:3" ht="12.75">
      <c r="A430" s="35"/>
      <c r="C430" s="35"/>
    </row>
    <row r="431" spans="1:3" ht="12.75">
      <c r="A431" s="35"/>
      <c r="C431" s="35"/>
    </row>
    <row r="432" spans="1:3" ht="12.75">
      <c r="A432" s="35"/>
      <c r="C432" s="35"/>
    </row>
    <row r="433" spans="1:3" ht="12.75">
      <c r="A433" s="35"/>
      <c r="C433" s="35"/>
    </row>
    <row r="434" spans="1:3" ht="12.75">
      <c r="A434" s="35"/>
      <c r="C434" s="35"/>
    </row>
    <row r="435" spans="1:3" ht="12.75">
      <c r="A435" s="35"/>
      <c r="C435" s="35"/>
    </row>
    <row r="436" spans="1:3" ht="12.75">
      <c r="A436" s="35"/>
      <c r="C436" s="35"/>
    </row>
    <row r="437" spans="1:3" ht="12.75">
      <c r="A437" s="35"/>
      <c r="C437" s="35"/>
    </row>
    <row r="438" spans="1:3" ht="12.75">
      <c r="A438" s="35"/>
      <c r="C438" s="35"/>
    </row>
    <row r="439" spans="1:3" ht="12.75">
      <c r="A439" s="35"/>
      <c r="C439" s="35"/>
    </row>
    <row r="440" spans="1:3" ht="12.75">
      <c r="A440" s="35"/>
      <c r="C440" s="35"/>
    </row>
    <row r="441" spans="1:3" ht="12.75">
      <c r="A441" s="35"/>
      <c r="C441" s="35"/>
    </row>
    <row r="442" spans="1:3" ht="12.75">
      <c r="A442" s="35"/>
      <c r="C442" s="35"/>
    </row>
    <row r="443" spans="1:3" ht="12.75">
      <c r="A443" s="35"/>
      <c r="C443" s="35"/>
    </row>
    <row r="444" spans="1:3" ht="12.75">
      <c r="A444" s="35"/>
      <c r="C444" s="35"/>
    </row>
    <row r="445" spans="1:3" ht="12.75">
      <c r="A445" s="35"/>
      <c r="C445" s="35"/>
    </row>
    <row r="446" spans="1:3" ht="12.75">
      <c r="A446" s="35"/>
      <c r="C446" s="35"/>
    </row>
    <row r="447" spans="1:3" ht="12.75">
      <c r="A447" s="35"/>
      <c r="C447" s="35"/>
    </row>
    <row r="448" spans="1:3" ht="12.75">
      <c r="A448" s="35"/>
      <c r="C448" s="35"/>
    </row>
    <row r="449" spans="1:3" ht="12.75">
      <c r="A449" s="35"/>
      <c r="C449" s="35"/>
    </row>
    <row r="450" spans="1:3" ht="12.75">
      <c r="A450" s="35"/>
      <c r="C450" s="35"/>
    </row>
    <row r="451" spans="1:3" ht="12.75">
      <c r="A451" s="35"/>
      <c r="C451" s="35"/>
    </row>
    <row r="452" spans="1:3" ht="12.75">
      <c r="A452" s="35"/>
      <c r="C452" s="35"/>
    </row>
    <row r="453" spans="1:3" ht="12.75">
      <c r="A453" s="35"/>
      <c r="C453" s="35"/>
    </row>
    <row r="454" spans="1:3" ht="12.75">
      <c r="A454" s="35"/>
      <c r="C454" s="35"/>
    </row>
    <row r="455" spans="1:3" ht="12.75">
      <c r="A455" s="35"/>
      <c r="C455" s="35"/>
    </row>
    <row r="456" spans="1:3" ht="12.75">
      <c r="A456" s="35"/>
      <c r="C456" s="35"/>
    </row>
    <row r="457" spans="1:3" ht="12.75">
      <c r="A457" s="35"/>
      <c r="C457" s="35"/>
    </row>
    <row r="458" spans="1:3" ht="12.75">
      <c r="A458" s="35"/>
      <c r="C458" s="35"/>
    </row>
    <row r="459" spans="1:3" ht="12.75">
      <c r="A459" s="35"/>
      <c r="C459" s="35"/>
    </row>
    <row r="460" spans="1:3" ht="12.75">
      <c r="A460" s="35"/>
      <c r="C460" s="35"/>
    </row>
    <row r="461" spans="1:3" ht="12.75">
      <c r="A461" s="35"/>
      <c r="C461" s="35"/>
    </row>
    <row r="462" spans="1:3" ht="12.75">
      <c r="A462" s="35"/>
      <c r="C462" s="35"/>
    </row>
    <row r="463" spans="1:3" ht="12.75">
      <c r="A463" s="35"/>
      <c r="C463" s="35"/>
    </row>
    <row r="464" spans="1:3" ht="12.75">
      <c r="A464" s="35"/>
      <c r="C464" s="35"/>
    </row>
    <row r="465" spans="1:3" ht="12.75">
      <c r="A465" s="35"/>
      <c r="C465" s="35"/>
    </row>
    <row r="466" spans="1:3" ht="12.75">
      <c r="A466" s="35"/>
      <c r="C466" s="35"/>
    </row>
    <row r="467" spans="1:3" ht="12.75">
      <c r="A467" s="35"/>
      <c r="C467" s="35"/>
    </row>
    <row r="468" spans="1:3" ht="12.75">
      <c r="A468" s="35"/>
      <c r="C468" s="35"/>
    </row>
    <row r="469" spans="1:3" ht="12.75">
      <c r="A469" s="35"/>
      <c r="C469" s="35"/>
    </row>
    <row r="470" spans="1:3" ht="12.75">
      <c r="A470" s="35"/>
      <c r="C470" s="35"/>
    </row>
    <row r="471" spans="1:3" ht="12.75">
      <c r="A471" s="35"/>
      <c r="C471" s="35"/>
    </row>
    <row r="472" spans="1:3" ht="12.75">
      <c r="A472" s="35"/>
      <c r="C472" s="35"/>
    </row>
    <row r="473" spans="1:3" ht="12.75">
      <c r="A473" s="35"/>
      <c r="C473" s="35"/>
    </row>
    <row r="474" spans="1:3" ht="12.75">
      <c r="A474" s="35"/>
      <c r="C474" s="35"/>
    </row>
    <row r="475" spans="1:3" ht="12.75">
      <c r="A475" s="35"/>
      <c r="C475" s="35"/>
    </row>
    <row r="476" spans="1:3" ht="12.75">
      <c r="A476" s="35"/>
      <c r="C476" s="35"/>
    </row>
    <row r="477" spans="1:3" ht="12.75">
      <c r="A477" s="35"/>
      <c r="C477" s="35"/>
    </row>
    <row r="478" spans="1:3" ht="12.75">
      <c r="A478" s="35"/>
      <c r="C478" s="35"/>
    </row>
    <row r="479" spans="1:3" ht="12.75">
      <c r="A479" s="35"/>
      <c r="C479" s="35"/>
    </row>
    <row r="480" spans="1:3" ht="12.75">
      <c r="A480" s="35"/>
      <c r="C480" s="35"/>
    </row>
    <row r="481" spans="1:3" ht="12.75">
      <c r="A481" s="35"/>
      <c r="C481" s="35"/>
    </row>
    <row r="482" spans="1:3" ht="12.75">
      <c r="A482" s="35"/>
      <c r="C482" s="35"/>
    </row>
    <row r="483" spans="1:3" ht="12.75">
      <c r="A483" s="35"/>
      <c r="C483" s="35"/>
    </row>
    <row r="484" spans="1:3" ht="12.75">
      <c r="A484" s="35"/>
      <c r="C484" s="35"/>
    </row>
    <row r="485" spans="1:3" ht="12.75">
      <c r="A485" s="35"/>
      <c r="C485" s="35"/>
    </row>
    <row r="486" spans="1:3" ht="12.75">
      <c r="A486" s="35"/>
      <c r="C486" s="35"/>
    </row>
    <row r="487" spans="1:3" ht="12.75">
      <c r="A487" s="35"/>
      <c r="C487" s="35"/>
    </row>
    <row r="488" spans="1:3" ht="12.75">
      <c r="A488" s="35"/>
      <c r="C488" s="35"/>
    </row>
    <row r="489" spans="1:3" ht="12.75">
      <c r="A489" s="35"/>
      <c r="C489" s="35"/>
    </row>
    <row r="490" spans="1:3" ht="12.75">
      <c r="A490" s="35"/>
      <c r="C490" s="35"/>
    </row>
    <row r="491" spans="1:3" ht="12.75">
      <c r="A491" s="35"/>
      <c r="C491" s="35"/>
    </row>
    <row r="492" spans="1:3" ht="12.75">
      <c r="A492" s="35"/>
      <c r="C492" s="35"/>
    </row>
    <row r="493" spans="1:3" ht="12.75">
      <c r="A493" s="35"/>
      <c r="C493" s="35"/>
    </row>
    <row r="494" spans="1:3" ht="12.75">
      <c r="A494" s="35"/>
      <c r="C494" s="35"/>
    </row>
    <row r="495" spans="1:3" ht="12.75">
      <c r="A495" s="35"/>
      <c r="C495" s="35"/>
    </row>
    <row r="496" spans="1:3" ht="12.75">
      <c r="A496" s="35"/>
      <c r="C496" s="35"/>
    </row>
    <row r="497" spans="1:3" ht="12.75">
      <c r="A497" s="35"/>
      <c r="C497" s="35"/>
    </row>
    <row r="498" spans="1:3" ht="12.75">
      <c r="A498" s="35"/>
      <c r="C498" s="35"/>
    </row>
    <row r="499" spans="1:3" ht="12.75">
      <c r="A499" s="35"/>
      <c r="C499" s="35"/>
    </row>
    <row r="500" spans="1:3" ht="12.75">
      <c r="A500" s="35"/>
      <c r="C500" s="35"/>
    </row>
    <row r="501" spans="1:3" ht="12.75">
      <c r="A501" s="35"/>
      <c r="C501" s="35"/>
    </row>
    <row r="502" spans="1:3" ht="12.75">
      <c r="A502" s="35"/>
      <c r="C502" s="35"/>
    </row>
    <row r="503" spans="1:3" ht="12.75">
      <c r="A503" s="35"/>
      <c r="C503" s="35"/>
    </row>
    <row r="504" spans="1:3" ht="12.75">
      <c r="A504" s="35"/>
      <c r="C504" s="35"/>
    </row>
    <row r="505" spans="1:3" ht="12.75">
      <c r="A505" s="35"/>
      <c r="C505" s="35"/>
    </row>
    <row r="506" spans="1:3" ht="12.75">
      <c r="A506" s="35"/>
      <c r="C506" s="35"/>
    </row>
    <row r="507" spans="1:3" ht="12.75">
      <c r="A507" s="35"/>
      <c r="C507" s="35"/>
    </row>
    <row r="508" spans="1:3" ht="12.75">
      <c r="A508" s="35"/>
      <c r="C508" s="35"/>
    </row>
    <row r="509" spans="1:3" ht="12.75">
      <c r="A509" s="35"/>
      <c r="C509" s="35"/>
    </row>
    <row r="510" spans="1:3" ht="12.75">
      <c r="A510" s="35"/>
      <c r="C510" s="35"/>
    </row>
    <row r="511" spans="1:3" ht="12.75">
      <c r="A511" s="35"/>
      <c r="C511" s="35"/>
    </row>
    <row r="512" spans="1:3" ht="12.75">
      <c r="A512" s="35"/>
      <c r="C512" s="35"/>
    </row>
    <row r="513" spans="1:3" ht="12.75">
      <c r="A513" s="35"/>
      <c r="C513" s="35"/>
    </row>
    <row r="514" spans="1:3" ht="12.75">
      <c r="A514" s="35"/>
      <c r="C514" s="35"/>
    </row>
    <row r="515" spans="1:3" ht="12.75">
      <c r="A515" s="35"/>
      <c r="C515" s="35"/>
    </row>
    <row r="516" spans="1:3" ht="12.75">
      <c r="A516" s="35"/>
      <c r="C516" s="35"/>
    </row>
    <row r="517" spans="1:3" ht="12.75">
      <c r="A517" s="35"/>
      <c r="C517" s="35"/>
    </row>
    <row r="518" spans="1:3" ht="12.75">
      <c r="A518" s="35"/>
      <c r="C518" s="35"/>
    </row>
    <row r="519" spans="1:3" ht="12.75">
      <c r="A519" s="35"/>
      <c r="C519" s="35"/>
    </row>
    <row r="520" spans="1:3" ht="12.75">
      <c r="A520" s="35"/>
      <c r="C520" s="35"/>
    </row>
    <row r="521" spans="1:3" ht="12.75">
      <c r="A521" s="35"/>
      <c r="C521" s="35"/>
    </row>
    <row r="522" spans="1:3" ht="12.75">
      <c r="A522" s="35"/>
      <c r="C522" s="35"/>
    </row>
    <row r="523" spans="1:3" ht="12.75">
      <c r="A523" s="35"/>
      <c r="C523" s="35"/>
    </row>
    <row r="524" spans="1:3" ht="12.75">
      <c r="A524" s="35"/>
      <c r="C524" s="35"/>
    </row>
    <row r="525" spans="1:3" ht="12.75">
      <c r="A525" s="35"/>
      <c r="C525" s="35"/>
    </row>
    <row r="526" spans="1:3" ht="12.75">
      <c r="A526" s="35"/>
      <c r="C526" s="35"/>
    </row>
    <row r="527" spans="1:3" ht="12.75">
      <c r="A527" s="35"/>
      <c r="C527" s="35"/>
    </row>
    <row r="528" spans="1:3" ht="12.75">
      <c r="A528" s="35"/>
      <c r="C528" s="35"/>
    </row>
    <row r="529" spans="1:3" ht="12.75">
      <c r="A529" s="35"/>
      <c r="C529" s="35"/>
    </row>
    <row r="530" spans="1:3" ht="12.75">
      <c r="A530" s="35"/>
      <c r="C530" s="35"/>
    </row>
    <row r="531" spans="1:3" ht="12.75">
      <c r="A531" s="35"/>
      <c r="C531" s="35"/>
    </row>
    <row r="532" spans="1:3" ht="12.75">
      <c r="A532" s="35"/>
      <c r="C532" s="35"/>
    </row>
    <row r="533" spans="1:3" ht="12.75">
      <c r="A533" s="35"/>
      <c r="C533" s="35"/>
    </row>
    <row r="534" spans="1:3" ht="12.75">
      <c r="A534" s="35"/>
      <c r="C534" s="35"/>
    </row>
    <row r="535" spans="1:3" ht="12.75">
      <c r="A535" s="35"/>
      <c r="C535" s="35"/>
    </row>
    <row r="536" spans="1:3" ht="12.75">
      <c r="A536" s="35"/>
      <c r="C536" s="35"/>
    </row>
    <row r="537" spans="1:3" ht="12.75">
      <c r="A537" s="35"/>
      <c r="C537" s="35"/>
    </row>
    <row r="538" spans="1:3" ht="12.75">
      <c r="A538" s="35"/>
      <c r="C538" s="35"/>
    </row>
    <row r="539" spans="1:3" ht="12.75">
      <c r="A539" s="35"/>
      <c r="C539" s="35"/>
    </row>
    <row r="540" spans="1:3" ht="12.75">
      <c r="A540" s="35"/>
      <c r="C540" s="35"/>
    </row>
    <row r="541" spans="1:3" ht="12.75">
      <c r="A541" s="35"/>
      <c r="C541" s="35"/>
    </row>
    <row r="542" spans="1:3" ht="12.75">
      <c r="A542" s="35"/>
      <c r="C542" s="35"/>
    </row>
    <row r="543" spans="1:3" ht="12.75">
      <c r="A543" s="35"/>
      <c r="C543" s="35"/>
    </row>
    <row r="544" spans="1:3" ht="12.75">
      <c r="A544" s="35"/>
      <c r="C544" s="35"/>
    </row>
    <row r="545" spans="1:3" ht="12.75">
      <c r="A545" s="35"/>
      <c r="C545" s="35"/>
    </row>
    <row r="546" spans="1:3" ht="12.75">
      <c r="A546" s="35"/>
      <c r="C546" s="35"/>
    </row>
    <row r="547" spans="1:3" ht="12.75">
      <c r="A547" s="35"/>
      <c r="C547" s="35"/>
    </row>
    <row r="548" spans="1:3" ht="12.75">
      <c r="A548" s="35"/>
      <c r="C548" s="35"/>
    </row>
    <row r="549" spans="1:3" ht="12.75">
      <c r="A549" s="35"/>
      <c r="C549" s="35"/>
    </row>
    <row r="550" spans="1:3" ht="12.75">
      <c r="A550" s="35"/>
      <c r="C550" s="35"/>
    </row>
    <row r="551" spans="1:3" ht="12.75">
      <c r="A551" s="35"/>
      <c r="C551" s="35"/>
    </row>
    <row r="552" spans="1:3" ht="12.75">
      <c r="A552" s="35"/>
      <c r="C552" s="35"/>
    </row>
    <row r="553" spans="1:3" ht="12.75">
      <c r="A553" s="35"/>
      <c r="C553" s="35"/>
    </row>
    <row r="554" spans="1:3" ht="12.75">
      <c r="A554" s="35"/>
      <c r="C554" s="35"/>
    </row>
    <row r="555" spans="1:3" ht="12.75">
      <c r="A555" s="35"/>
      <c r="C555" s="35"/>
    </row>
    <row r="556" spans="1:3" ht="12.75">
      <c r="A556" s="35"/>
      <c r="C556" s="35"/>
    </row>
    <row r="557" spans="1:3" ht="12.75">
      <c r="A557" s="35"/>
      <c r="C557" s="35"/>
    </row>
    <row r="558" spans="1:3" ht="12.75">
      <c r="A558" s="35"/>
      <c r="C558" s="35"/>
    </row>
    <row r="559" spans="1:3" ht="12.75">
      <c r="A559" s="35"/>
      <c r="C559" s="35"/>
    </row>
    <row r="560" spans="1:3" ht="12.75">
      <c r="A560" s="35"/>
      <c r="C560" s="35"/>
    </row>
    <row r="561" spans="1:3" ht="12.75">
      <c r="A561" s="35"/>
      <c r="C561" s="35"/>
    </row>
    <row r="562" spans="1:3" ht="12.75">
      <c r="A562" s="35"/>
      <c r="C562" s="35"/>
    </row>
    <row r="563" spans="1:3" ht="12.75">
      <c r="A563" s="35"/>
      <c r="C563" s="35"/>
    </row>
    <row r="564" spans="1:3" ht="12.75">
      <c r="A564" s="35"/>
      <c r="C564" s="35"/>
    </row>
    <row r="565" spans="1:3" ht="12.75">
      <c r="A565" s="35"/>
      <c r="C565" s="35"/>
    </row>
    <row r="566" spans="1:3" ht="12.75">
      <c r="A566" s="35"/>
      <c r="C566" s="35"/>
    </row>
    <row r="567" spans="1:3" ht="12.75">
      <c r="A567" s="35"/>
      <c r="C567" s="35"/>
    </row>
    <row r="568" spans="1:3" ht="12.75">
      <c r="A568" s="35"/>
      <c r="C568" s="35"/>
    </row>
    <row r="569" spans="1:3" ht="12.75">
      <c r="A569" s="35"/>
      <c r="C569" s="35"/>
    </row>
    <row r="570" spans="1:3" ht="12.75">
      <c r="A570" s="35"/>
      <c r="C570" s="35"/>
    </row>
    <row r="571" spans="1:3" ht="12.75">
      <c r="A571" s="35"/>
      <c r="C571" s="35"/>
    </row>
    <row r="572" spans="1:3" ht="12.75">
      <c r="A572" s="35"/>
      <c r="C572" s="35"/>
    </row>
    <row r="573" spans="1:3" ht="12.75">
      <c r="A573" s="35"/>
      <c r="C573" s="35"/>
    </row>
    <row r="574" spans="1:3" ht="12.75">
      <c r="A574" s="35"/>
      <c r="C574" s="35"/>
    </row>
    <row r="575" spans="1:3" ht="12.75">
      <c r="A575" s="35"/>
      <c r="C575" s="35"/>
    </row>
    <row r="576" spans="1:3" ht="12.75">
      <c r="A576" s="35"/>
      <c r="C576" s="35"/>
    </row>
    <row r="577" spans="1:3" ht="12.75">
      <c r="A577" s="35"/>
      <c r="C577" s="35"/>
    </row>
    <row r="578" spans="1:3" ht="12.75">
      <c r="A578" s="35"/>
      <c r="C578" s="35"/>
    </row>
    <row r="579" spans="1:3" ht="12.75">
      <c r="A579" s="35"/>
      <c r="C579" s="35"/>
    </row>
    <row r="580" spans="1:3" ht="12.75">
      <c r="A580" s="35"/>
      <c r="C580" s="35"/>
    </row>
    <row r="581" spans="1:3" ht="12.75">
      <c r="A581" s="35"/>
      <c r="C581" s="35"/>
    </row>
    <row r="582" spans="1:3" ht="12.75">
      <c r="A582" s="35"/>
      <c r="C582" s="35"/>
    </row>
    <row r="583" spans="1:3" ht="12.75">
      <c r="A583" s="35"/>
      <c r="C583" s="35"/>
    </row>
    <row r="584" spans="1:3" ht="12.75">
      <c r="A584" s="35"/>
      <c r="C584" s="35"/>
    </row>
    <row r="585" spans="1:3" ht="12.75">
      <c r="A585" s="35"/>
      <c r="C585" s="35"/>
    </row>
    <row r="586" spans="1:3" ht="12.75">
      <c r="A586" s="35"/>
      <c r="C586" s="35"/>
    </row>
    <row r="587" spans="1:3" ht="12.75">
      <c r="A587" s="35"/>
      <c r="C587" s="35"/>
    </row>
    <row r="588" spans="1:3" ht="12.75">
      <c r="A588" s="35"/>
      <c r="C588" s="35"/>
    </row>
    <row r="589" spans="1:3" ht="12.75">
      <c r="A589" s="35"/>
      <c r="C589" s="35"/>
    </row>
    <row r="590" spans="1:3" ht="12.75">
      <c r="A590" s="35"/>
      <c r="C590" s="35"/>
    </row>
    <row r="591" spans="1:3" ht="12.75">
      <c r="A591" s="35"/>
      <c r="C591" s="35"/>
    </row>
    <row r="592" spans="1:3" ht="12.75">
      <c r="A592" s="35"/>
      <c r="C592" s="35"/>
    </row>
    <row r="593" spans="1:3" ht="12.75">
      <c r="A593" s="35"/>
      <c r="C593" s="35"/>
    </row>
    <row r="594" spans="1:3" ht="12.75">
      <c r="A594" s="35"/>
      <c r="C594" s="35"/>
    </row>
    <row r="595" spans="1:3" ht="12.75">
      <c r="A595" s="35"/>
      <c r="C595" s="35"/>
    </row>
    <row r="596" spans="1:3" ht="12.75">
      <c r="A596" s="35"/>
      <c r="C596" s="35"/>
    </row>
    <row r="597" spans="1:3" ht="12.75">
      <c r="A597" s="35"/>
      <c r="C597" s="35"/>
    </row>
    <row r="598" spans="1:3" ht="12.75">
      <c r="A598" s="35"/>
      <c r="C598" s="35"/>
    </row>
    <row r="599" spans="1:3" ht="12.75">
      <c r="A599" s="35"/>
      <c r="C599" s="35"/>
    </row>
    <row r="600" spans="1:3" ht="12.75">
      <c r="A600" s="35"/>
      <c r="C600" s="35"/>
    </row>
    <row r="601" spans="1:3" ht="12.75">
      <c r="A601" s="35"/>
      <c r="C601" s="35"/>
    </row>
    <row r="602" spans="1:3" ht="12.75">
      <c r="A602" s="35"/>
      <c r="C602" s="35"/>
    </row>
    <row r="603" spans="1:3" ht="12.75">
      <c r="A603" s="35"/>
      <c r="C603" s="35"/>
    </row>
    <row r="604" spans="1:3" ht="12.75">
      <c r="A604" s="35"/>
      <c r="C604" s="35"/>
    </row>
    <row r="605" spans="1:3" ht="12.75">
      <c r="A605" s="35"/>
      <c r="C605" s="35"/>
    </row>
    <row r="606" spans="1:3" ht="12.75">
      <c r="A606" s="35"/>
      <c r="C606" s="35"/>
    </row>
    <row r="607" spans="1:3" ht="12.75">
      <c r="A607" s="35"/>
      <c r="C607" s="35"/>
    </row>
    <row r="608" spans="1:3" ht="12.75">
      <c r="A608" s="35"/>
      <c r="C608" s="35"/>
    </row>
    <row r="609" spans="1:3" ht="12.75">
      <c r="A609" s="35"/>
      <c r="C609" s="35"/>
    </row>
    <row r="610" spans="1:3" ht="12.75">
      <c r="A610" s="35"/>
      <c r="C610" s="35"/>
    </row>
    <row r="611" spans="1:3" ht="12.75">
      <c r="A611" s="35"/>
      <c r="C611" s="35"/>
    </row>
    <row r="612" spans="1:3" ht="12.75">
      <c r="A612" s="35"/>
      <c r="C612" s="35"/>
    </row>
    <row r="613" spans="1:3" ht="12.75">
      <c r="A613" s="35"/>
      <c r="C613" s="35"/>
    </row>
    <row r="614" spans="1:3" ht="12.75">
      <c r="A614" s="35"/>
      <c r="C614" s="35"/>
    </row>
    <row r="615" spans="1:3" ht="12.75">
      <c r="A615" s="35"/>
      <c r="C615" s="35"/>
    </row>
    <row r="616" spans="1:3" ht="12.75">
      <c r="A616" s="35"/>
      <c r="C616" s="35"/>
    </row>
    <row r="617" spans="1:3" ht="12.75">
      <c r="A617" s="35"/>
      <c r="C617" s="35"/>
    </row>
    <row r="618" spans="1:3" ht="12.75">
      <c r="A618" s="35"/>
      <c r="C618" s="35"/>
    </row>
    <row r="619" spans="1:3" ht="12.75">
      <c r="A619" s="35"/>
      <c r="C619" s="35"/>
    </row>
    <row r="620" spans="1:3" ht="12.75">
      <c r="A620" s="35"/>
      <c r="C620" s="35"/>
    </row>
    <row r="621" spans="1:3" ht="12.75">
      <c r="A621" s="35"/>
      <c r="C621" s="35"/>
    </row>
    <row r="622" spans="1:3" ht="12.75">
      <c r="A622" s="35"/>
      <c r="C622" s="35"/>
    </row>
    <row r="623" spans="1:3" ht="12.75">
      <c r="A623" s="35"/>
      <c r="C623" s="35"/>
    </row>
    <row r="624" spans="1:3" ht="12.75">
      <c r="A624" s="35"/>
      <c r="C624" s="35"/>
    </row>
    <row r="625" spans="1:3" ht="12.75">
      <c r="A625" s="35"/>
      <c r="C625" s="35"/>
    </row>
    <row r="626" spans="1:3" ht="12.75">
      <c r="A626" s="35"/>
      <c r="C626" s="35"/>
    </row>
    <row r="627" spans="1:3" ht="12.75">
      <c r="A627" s="35"/>
      <c r="C627" s="35"/>
    </row>
    <row r="628" spans="1:3" ht="12.75">
      <c r="A628" s="35"/>
      <c r="C628" s="35"/>
    </row>
    <row r="629" spans="1:3" ht="12.75">
      <c r="A629" s="35"/>
      <c r="C629" s="35"/>
    </row>
    <row r="630" spans="1:3" ht="12.75">
      <c r="A630" s="35"/>
      <c r="C630" s="35"/>
    </row>
    <row r="631" spans="1:3" ht="12.75">
      <c r="A631" s="35"/>
      <c r="C631" s="35"/>
    </row>
    <row r="632" spans="1:3" ht="12.75">
      <c r="A632" s="35"/>
      <c r="C632" s="35"/>
    </row>
    <row r="633" spans="1:3" ht="12.75">
      <c r="A633" s="35"/>
      <c r="C633" s="35"/>
    </row>
    <row r="634" spans="1:3" ht="12.75">
      <c r="A634" s="35"/>
      <c r="C634" s="35"/>
    </row>
    <row r="635" spans="1:3" ht="12.75">
      <c r="A635" s="35"/>
      <c r="C635" s="35"/>
    </row>
    <row r="636" spans="1:3" ht="12.75">
      <c r="A636" s="35"/>
      <c r="C636" s="35"/>
    </row>
    <row r="637" spans="1:3" ht="12.75">
      <c r="A637" s="35"/>
      <c r="C637" s="35"/>
    </row>
    <row r="638" spans="1:3" ht="12.75">
      <c r="A638" s="35"/>
      <c r="C638" s="35"/>
    </row>
    <row r="639" spans="1:3" ht="12.75">
      <c r="A639" s="35"/>
      <c r="C639" s="35"/>
    </row>
    <row r="640" spans="1:3" ht="12.75">
      <c r="A640" s="35"/>
      <c r="C640" s="35"/>
    </row>
    <row r="641" spans="1:3" ht="12.75">
      <c r="A641" s="35"/>
      <c r="C641" s="35"/>
    </row>
    <row r="642" spans="1:3" ht="12.75">
      <c r="A642" s="35"/>
      <c r="C642" s="35"/>
    </row>
    <row r="643" spans="1:3" ht="12.75">
      <c r="A643" s="35"/>
      <c r="C643" s="35"/>
    </row>
    <row r="644" spans="1:3" ht="12.75">
      <c r="A644" s="35"/>
      <c r="C644" s="35"/>
    </row>
    <row r="645" spans="1:3" ht="12.75">
      <c r="A645" s="35"/>
      <c r="C645" s="35"/>
    </row>
    <row r="646" spans="1:3" ht="12.75">
      <c r="A646" s="35"/>
      <c r="C646" s="35"/>
    </row>
    <row r="647" spans="1:3" ht="12.75">
      <c r="A647" s="35"/>
      <c r="C647" s="35"/>
    </row>
    <row r="648" spans="1:3" ht="12.75">
      <c r="A648" s="35"/>
      <c r="C648" s="35"/>
    </row>
    <row r="649" spans="1:3" ht="12.75">
      <c r="A649" s="35"/>
      <c r="C649" s="35"/>
    </row>
    <row r="650" spans="1:3" ht="12.75">
      <c r="A650" s="35"/>
      <c r="C650" s="35"/>
    </row>
    <row r="651" spans="1:3" ht="12.75">
      <c r="A651" s="35"/>
      <c r="C651" s="35"/>
    </row>
    <row r="652" spans="1:3" ht="12.75">
      <c r="A652" s="35"/>
      <c r="C652" s="35"/>
    </row>
    <row r="653" spans="1:3" ht="12.75">
      <c r="A653" s="35"/>
      <c r="C653" s="35"/>
    </row>
    <row r="654" spans="1:3" ht="12.75">
      <c r="A654" s="35"/>
      <c r="C654" s="35"/>
    </row>
    <row r="655" spans="1:3" ht="12.75">
      <c r="A655" s="35"/>
      <c r="C655" s="35"/>
    </row>
    <row r="656" spans="1:3" ht="12.75">
      <c r="A656" s="35"/>
      <c r="C656" s="35"/>
    </row>
    <row r="657" spans="1:3" ht="12.75">
      <c r="A657" s="35"/>
      <c r="C657" s="35"/>
    </row>
    <row r="658" spans="1:3" ht="12.75">
      <c r="A658" s="35"/>
      <c r="C658" s="35"/>
    </row>
    <row r="659" spans="1:3" ht="12.75">
      <c r="A659" s="35"/>
      <c r="C659" s="35"/>
    </row>
    <row r="660" spans="1:3" ht="12.75">
      <c r="A660" s="35"/>
      <c r="C660" s="35"/>
    </row>
    <row r="661" spans="1:3" ht="12.75">
      <c r="A661" s="35"/>
      <c r="C661" s="35"/>
    </row>
    <row r="662" spans="1:3" ht="12.75">
      <c r="A662" s="35"/>
      <c r="C662" s="35"/>
    </row>
    <row r="663" spans="1:3" ht="12.75">
      <c r="A663" s="35"/>
      <c r="C663" s="35"/>
    </row>
    <row r="664" spans="1:3" ht="12.75">
      <c r="A664" s="35"/>
      <c r="C664" s="35"/>
    </row>
    <row r="665" spans="1:3" ht="12.75">
      <c r="A665" s="35"/>
      <c r="C665" s="35"/>
    </row>
    <row r="666" spans="1:3" ht="12.75">
      <c r="A666" s="35"/>
      <c r="C666" s="35"/>
    </row>
    <row r="667" spans="1:3" ht="12.75">
      <c r="A667" s="35"/>
      <c r="C667" s="35"/>
    </row>
    <row r="668" spans="1:3" ht="12.75">
      <c r="A668" s="35"/>
      <c r="C668" s="35"/>
    </row>
    <row r="669" spans="1:3" ht="12.75">
      <c r="A669" s="35"/>
      <c r="C669" s="35"/>
    </row>
    <row r="670" spans="1:3" ht="12.75">
      <c r="A670" s="35"/>
      <c r="C670" s="35"/>
    </row>
    <row r="671" spans="1:3" ht="12.75">
      <c r="A671" s="35"/>
      <c r="C671" s="35"/>
    </row>
    <row r="672" spans="1:3" ht="12.75">
      <c r="A672" s="35"/>
      <c r="C672" s="35"/>
    </row>
    <row r="673" spans="1:3" ht="12.75">
      <c r="A673" s="35"/>
      <c r="C673" s="35"/>
    </row>
    <row r="674" spans="1:3" ht="12.75">
      <c r="A674" s="35"/>
      <c r="C674" s="35"/>
    </row>
    <row r="675" spans="1:3" ht="12.75">
      <c r="A675" s="35"/>
      <c r="C675" s="35"/>
    </row>
    <row r="676" spans="1:3" ht="12.75">
      <c r="A676" s="35"/>
      <c r="C676" s="35"/>
    </row>
    <row r="677" spans="1:3" ht="12.75">
      <c r="A677" s="35"/>
      <c r="C677" s="35"/>
    </row>
    <row r="678" spans="1:3" ht="12.75">
      <c r="A678" s="35"/>
      <c r="C678" s="35"/>
    </row>
    <row r="679" spans="1:3" ht="12.75">
      <c r="A679" s="35"/>
      <c r="C679" s="35"/>
    </row>
    <row r="680" spans="1:3" ht="12.75">
      <c r="A680" s="35"/>
      <c r="C680" s="35"/>
    </row>
    <row r="681" spans="1:3" ht="12.75">
      <c r="A681" s="35"/>
      <c r="C681" s="35"/>
    </row>
    <row r="682" spans="1:3" ht="12.75">
      <c r="A682" s="35"/>
      <c r="C682" s="35"/>
    </row>
    <row r="683" spans="1:3" ht="12.75">
      <c r="A683" s="35"/>
      <c r="C683" s="35"/>
    </row>
    <row r="684" spans="1:3" ht="12.75">
      <c r="A684" s="35"/>
      <c r="C684" s="35"/>
    </row>
    <row r="685" spans="1:3" ht="12.75">
      <c r="A685" s="35"/>
      <c r="C685" s="35"/>
    </row>
    <row r="686" spans="1:3" ht="12.75">
      <c r="A686" s="35"/>
      <c r="C686" s="35"/>
    </row>
    <row r="687" spans="1:3" ht="12.75">
      <c r="A687" s="35"/>
      <c r="C687" s="35"/>
    </row>
    <row r="688" spans="1:3" ht="12.75">
      <c r="A688" s="35"/>
      <c r="C688" s="35"/>
    </row>
    <row r="689" spans="1:3" ht="12.75">
      <c r="A689" s="35"/>
      <c r="C689" s="35"/>
    </row>
    <row r="690" spans="1:3" ht="12.75">
      <c r="A690" s="35"/>
      <c r="C690" s="35"/>
    </row>
    <row r="691" spans="1:3" ht="12.75">
      <c r="A691" s="35"/>
      <c r="C691" s="35"/>
    </row>
    <row r="692" spans="1:3" ht="12.75">
      <c r="A692" s="35"/>
      <c r="C692" s="35"/>
    </row>
    <row r="693" spans="1:3" ht="12.75">
      <c r="A693" s="35"/>
      <c r="C693" s="35"/>
    </row>
    <row r="694" spans="1:3" ht="12.75">
      <c r="A694" s="35"/>
      <c r="C694" s="35"/>
    </row>
    <row r="695" spans="1:3" ht="12.75">
      <c r="A695" s="35"/>
      <c r="C695" s="35"/>
    </row>
    <row r="696" spans="1:3" ht="12.75">
      <c r="A696" s="35"/>
      <c r="C696" s="35"/>
    </row>
    <row r="697" spans="1:3" ht="12.75">
      <c r="A697" s="35"/>
      <c r="C697" s="35"/>
    </row>
    <row r="698" spans="1:3" ht="12.75">
      <c r="A698" s="35"/>
      <c r="C698" s="35"/>
    </row>
    <row r="699" spans="1:3" ht="12.75">
      <c r="A699" s="35"/>
      <c r="C699" s="35"/>
    </row>
    <row r="700" spans="1:3" ht="12.75">
      <c r="A700" s="35"/>
      <c r="C700" s="35"/>
    </row>
    <row r="701" spans="1:3" ht="12.75">
      <c r="A701" s="35"/>
      <c r="C701" s="35"/>
    </row>
    <row r="702" spans="1:3" ht="12.75">
      <c r="A702" s="35"/>
      <c r="C702" s="35"/>
    </row>
    <row r="703" spans="1:3" ht="12.75">
      <c r="A703" s="35"/>
      <c r="C703" s="35"/>
    </row>
    <row r="704" spans="1:3" ht="12.75">
      <c r="A704" s="35"/>
      <c r="C704" s="35"/>
    </row>
    <row r="705" spans="1:3" ht="12.75">
      <c r="A705" s="35"/>
      <c r="C705" s="35"/>
    </row>
    <row r="706" spans="1:3" ht="12.75">
      <c r="A706" s="35"/>
      <c r="C706" s="35"/>
    </row>
    <row r="707" spans="1:3" ht="12.75">
      <c r="A707" s="35"/>
      <c r="C707" s="35"/>
    </row>
    <row r="708" spans="1:3" ht="12.75">
      <c r="A708" s="35"/>
      <c r="C708" s="35"/>
    </row>
    <row r="709" spans="1:3" ht="12.75">
      <c r="A709" s="35"/>
      <c r="C709" s="35"/>
    </row>
    <row r="710" spans="1:3" ht="12.75">
      <c r="A710" s="35"/>
      <c r="C710" s="35"/>
    </row>
    <row r="711" spans="1:3" ht="12.75">
      <c r="A711" s="35"/>
      <c r="C711" s="35"/>
    </row>
    <row r="712" spans="1:3" ht="12.75">
      <c r="A712" s="35"/>
      <c r="C712" s="35"/>
    </row>
    <row r="713" spans="1:3" ht="12.75">
      <c r="A713" s="35"/>
      <c r="C713" s="35"/>
    </row>
    <row r="714" spans="1:3" ht="12.75">
      <c r="A714" s="35"/>
      <c r="C714" s="35"/>
    </row>
    <row r="715" spans="1:3" ht="12.75">
      <c r="A715" s="35"/>
      <c r="C715" s="35"/>
    </row>
    <row r="716" spans="1:3" ht="12.75">
      <c r="A716" s="35"/>
      <c r="C716" s="35"/>
    </row>
    <row r="717" spans="1:3" ht="12.75">
      <c r="A717" s="35"/>
      <c r="C717" s="35"/>
    </row>
    <row r="718" spans="1:3" ht="12.75">
      <c r="A718" s="35"/>
      <c r="C718" s="35"/>
    </row>
    <row r="719" spans="1:3" ht="12.75">
      <c r="A719" s="35"/>
      <c r="C719" s="35"/>
    </row>
    <row r="720" spans="1:3" ht="12.75">
      <c r="A720" s="35"/>
      <c r="C720" s="35"/>
    </row>
    <row r="721" spans="1:3" ht="12.75">
      <c r="A721" s="35"/>
      <c r="C721" s="35"/>
    </row>
    <row r="722" spans="1:3" ht="12.75">
      <c r="A722" s="35"/>
      <c r="C722" s="35"/>
    </row>
    <row r="723" spans="1:3" ht="12.75">
      <c r="A723" s="35"/>
      <c r="C723" s="35"/>
    </row>
    <row r="724" spans="1:3" ht="12.75">
      <c r="A724" s="35"/>
      <c r="C724" s="35"/>
    </row>
    <row r="725" spans="1:3" ht="12.75">
      <c r="A725" s="35"/>
      <c r="C725" s="35"/>
    </row>
    <row r="726" spans="1:3" ht="12.75">
      <c r="A726" s="35"/>
      <c r="C726" s="35"/>
    </row>
    <row r="727" spans="1:3" ht="12.75">
      <c r="A727" s="35"/>
      <c r="C727" s="35"/>
    </row>
    <row r="728" spans="1:3" ht="12.75">
      <c r="A728" s="35"/>
      <c r="C728" s="35"/>
    </row>
    <row r="729" spans="1:3" ht="12.75">
      <c r="A729" s="35"/>
      <c r="C729" s="35"/>
    </row>
    <row r="730" spans="1:3" ht="12.75">
      <c r="A730" s="35"/>
      <c r="C730" s="35"/>
    </row>
    <row r="731" spans="1:3" ht="12.75">
      <c r="A731" s="35"/>
      <c r="C731" s="35"/>
    </row>
    <row r="732" spans="1:3" ht="12.75">
      <c r="A732" s="35"/>
      <c r="C732" s="35"/>
    </row>
    <row r="733" spans="1:3" ht="12.75">
      <c r="A733" s="35"/>
      <c r="C733" s="35"/>
    </row>
    <row r="734" spans="1:3" ht="12.75">
      <c r="A734" s="35"/>
      <c r="C734" s="35"/>
    </row>
    <row r="735" spans="1:3" ht="12.75">
      <c r="A735" s="35"/>
      <c r="C735" s="35"/>
    </row>
    <row r="736" spans="1:3" ht="12.75">
      <c r="A736" s="35"/>
      <c r="C736" s="35"/>
    </row>
    <row r="737" spans="1:3" ht="12.75">
      <c r="A737" s="35"/>
      <c r="C737" s="35"/>
    </row>
    <row r="738" spans="1:3" ht="12.75">
      <c r="A738" s="35"/>
      <c r="C738" s="35"/>
    </row>
    <row r="739" spans="1:3" ht="12.75">
      <c r="A739" s="35"/>
      <c r="C739" s="35"/>
    </row>
    <row r="740" spans="1:3" ht="12.75">
      <c r="A740" s="35"/>
      <c r="C740" s="35"/>
    </row>
    <row r="741" spans="1:3" ht="12.75">
      <c r="A741" s="35"/>
      <c r="C741" s="35"/>
    </row>
    <row r="742" spans="1:3" ht="12.75">
      <c r="A742" s="35"/>
      <c r="C742" s="35"/>
    </row>
    <row r="743" spans="1:3" ht="12.75">
      <c r="A743" s="35"/>
      <c r="C743" s="35"/>
    </row>
    <row r="744" spans="1:3" ht="12.75">
      <c r="A744" s="35"/>
      <c r="C744" s="35"/>
    </row>
    <row r="745" spans="1:3" ht="12.75">
      <c r="A745" s="35"/>
      <c r="C745" s="35"/>
    </row>
    <row r="746" spans="1:3" ht="12.75">
      <c r="A746" s="35"/>
      <c r="C746" s="35"/>
    </row>
    <row r="747" spans="1:3" ht="12.75">
      <c r="A747" s="35"/>
      <c r="C747" s="35"/>
    </row>
    <row r="748" spans="1:3" ht="12.75">
      <c r="A748" s="35"/>
      <c r="C748" s="35"/>
    </row>
    <row r="749" spans="1:3" ht="12.75">
      <c r="A749" s="35"/>
      <c r="C749" s="35"/>
    </row>
    <row r="750" spans="1:3" ht="12.75">
      <c r="A750" s="35"/>
      <c r="C750" s="35"/>
    </row>
    <row r="751" spans="1:3" ht="12.75">
      <c r="A751" s="35"/>
      <c r="C751" s="35"/>
    </row>
    <row r="752" spans="1:3" ht="12.75">
      <c r="A752" s="35"/>
      <c r="C752" s="35"/>
    </row>
    <row r="753" spans="1:3" ht="12.75">
      <c r="A753" s="35"/>
      <c r="C753" s="35"/>
    </row>
    <row r="754" spans="1:3" ht="12.75">
      <c r="A754" s="35"/>
      <c r="C754" s="35"/>
    </row>
    <row r="755" spans="1:3" ht="12.75">
      <c r="A755" s="35"/>
      <c r="C755" s="35"/>
    </row>
    <row r="756" spans="1:3" ht="12.75">
      <c r="A756" s="35"/>
      <c r="C756" s="35"/>
    </row>
    <row r="757" spans="1:3" ht="12.75">
      <c r="A757" s="35"/>
      <c r="C757" s="35"/>
    </row>
    <row r="758" spans="1:3" ht="12.75">
      <c r="A758" s="35"/>
      <c r="C758" s="35"/>
    </row>
    <row r="759" spans="1:3" ht="12.75">
      <c r="A759" s="35"/>
      <c r="C759" s="35"/>
    </row>
    <row r="760" spans="1:3" ht="12.75">
      <c r="A760" s="35"/>
      <c r="C760" s="35"/>
    </row>
    <row r="761" spans="1:3" ht="12.75">
      <c r="A761" s="35"/>
      <c r="C761" s="35"/>
    </row>
    <row r="762" spans="1:3" ht="12.75">
      <c r="A762" s="35"/>
      <c r="C762" s="35"/>
    </row>
    <row r="763" spans="1:3" ht="12.75">
      <c r="A763" s="35"/>
      <c r="C763" s="35"/>
    </row>
    <row r="764" spans="1:3" ht="12.75">
      <c r="A764" s="35"/>
      <c r="C764" s="35"/>
    </row>
    <row r="765" spans="1:3" ht="12.75">
      <c r="A765" s="35"/>
      <c r="C765" s="35"/>
    </row>
    <row r="766" spans="1:3" ht="12.75">
      <c r="A766" s="35"/>
      <c r="C766" s="35"/>
    </row>
    <row r="767" spans="1:3" ht="12.75">
      <c r="A767" s="35"/>
      <c r="C767" s="35"/>
    </row>
    <row r="768" spans="1:3" ht="12.75">
      <c r="A768" s="35"/>
      <c r="C768" s="35"/>
    </row>
    <row r="769" spans="1:3" ht="12.75">
      <c r="A769" s="35"/>
      <c r="C769" s="35"/>
    </row>
    <row r="770" spans="1:3" ht="12.75">
      <c r="A770" s="35"/>
      <c r="C770" s="35"/>
    </row>
    <row r="771" spans="1:3" ht="12.75">
      <c r="A771" s="35"/>
      <c r="C771" s="35"/>
    </row>
    <row r="772" spans="1:3" ht="12.75">
      <c r="A772" s="35"/>
      <c r="C772" s="35"/>
    </row>
    <row r="773" spans="1:3" ht="12.75">
      <c r="A773" s="35"/>
      <c r="C773" s="35"/>
    </row>
    <row r="774" spans="1:3" ht="12.75">
      <c r="A774" s="35"/>
      <c r="C774" s="35"/>
    </row>
    <row r="775" spans="1:3" ht="12.75">
      <c r="A775" s="35"/>
      <c r="C775" s="35"/>
    </row>
    <row r="776" spans="1:3" ht="12.75">
      <c r="A776" s="35"/>
      <c r="C776" s="35"/>
    </row>
    <row r="777" spans="1:3" ht="12.75">
      <c r="A777" s="35"/>
      <c r="C777" s="35"/>
    </row>
    <row r="778" spans="1:3" ht="12.75">
      <c r="A778" s="35"/>
      <c r="C778" s="35"/>
    </row>
    <row r="779" spans="1:3" ht="12.75">
      <c r="A779" s="35"/>
      <c r="C779" s="35"/>
    </row>
    <row r="780" spans="1:3" ht="12.75">
      <c r="A780" s="35"/>
      <c r="C780" s="35"/>
    </row>
    <row r="781" spans="1:3" ht="12.75">
      <c r="A781" s="35"/>
      <c r="C781" s="35"/>
    </row>
    <row r="782" spans="1:3" ht="12.75">
      <c r="A782" s="35"/>
      <c r="C782" s="35"/>
    </row>
    <row r="783" spans="1:3" ht="12.75">
      <c r="A783" s="35"/>
      <c r="C783" s="35"/>
    </row>
    <row r="784" spans="1:3" ht="12.75">
      <c r="A784" s="35"/>
      <c r="C784" s="35"/>
    </row>
    <row r="785" spans="1:3" ht="12.75">
      <c r="A785" s="35"/>
      <c r="C785" s="35"/>
    </row>
    <row r="786" spans="1:3" ht="12.75">
      <c r="A786" s="35"/>
      <c r="C786" s="35"/>
    </row>
    <row r="787" spans="1:3" ht="12.75">
      <c r="A787" s="35"/>
      <c r="C787" s="35"/>
    </row>
    <row r="788" spans="1:3" ht="12.75">
      <c r="A788" s="35"/>
      <c r="C788" s="35"/>
    </row>
    <row r="789" spans="1:3" ht="12.75">
      <c r="A789" s="35"/>
      <c r="C789" s="35"/>
    </row>
    <row r="790" spans="1:3" ht="12.75">
      <c r="A790" s="35"/>
      <c r="C790" s="35"/>
    </row>
    <row r="791" spans="1:3" ht="12.75">
      <c r="A791" s="35"/>
      <c r="C791" s="35"/>
    </row>
    <row r="792" spans="1:3" ht="12.75">
      <c r="A792" s="35"/>
      <c r="C792" s="35"/>
    </row>
    <row r="793" spans="1:3" ht="12.75">
      <c r="A793" s="35"/>
      <c r="C793" s="35"/>
    </row>
    <row r="794" spans="1:3" ht="12.75">
      <c r="A794" s="35"/>
      <c r="C794" s="35"/>
    </row>
    <row r="795" spans="1:3" ht="12.75">
      <c r="A795" s="35"/>
      <c r="C795" s="35"/>
    </row>
    <row r="796" spans="1:3" ht="12.75">
      <c r="A796" s="35"/>
      <c r="C796" s="35"/>
    </row>
    <row r="797" spans="1:3" ht="12.75">
      <c r="A797" s="35"/>
      <c r="C797" s="35"/>
    </row>
    <row r="798" spans="1:3" ht="12.75">
      <c r="A798" s="35"/>
      <c r="C798" s="35"/>
    </row>
    <row r="799" spans="1:3" ht="12.75">
      <c r="A799" s="35"/>
      <c r="C799" s="35"/>
    </row>
    <row r="800" spans="1:3" ht="12.75">
      <c r="A800" s="35"/>
      <c r="C800" s="35"/>
    </row>
    <row r="801" spans="1:3" ht="12.75">
      <c r="A801" s="35"/>
      <c r="C801" s="35"/>
    </row>
    <row r="802" spans="1:3" ht="12.75">
      <c r="A802" s="35"/>
      <c r="C802" s="35"/>
    </row>
    <row r="803" spans="1:3" ht="12.75">
      <c r="A803" s="35"/>
      <c r="C803" s="35"/>
    </row>
    <row r="804" spans="1:3" ht="12.75">
      <c r="A804" s="35"/>
      <c r="C804" s="35"/>
    </row>
    <row r="805" spans="1:3" ht="12.75">
      <c r="A805" s="35"/>
      <c r="C805" s="35"/>
    </row>
    <row r="806" spans="1:3" ht="12.75">
      <c r="A806" s="35"/>
      <c r="C806" s="35"/>
    </row>
    <row r="807" spans="1:3" ht="12.75">
      <c r="A807" s="35"/>
      <c r="C807" s="35"/>
    </row>
    <row r="808" spans="1:3" ht="12.75">
      <c r="A808" s="35"/>
      <c r="C808" s="35"/>
    </row>
    <row r="809" spans="1:3" ht="12.75">
      <c r="A809" s="35"/>
      <c r="C809" s="35"/>
    </row>
    <row r="810" spans="1:3" ht="12.75">
      <c r="A810" s="35"/>
      <c r="C810" s="35"/>
    </row>
    <row r="811" spans="1:3" ht="12.75">
      <c r="A811" s="35"/>
      <c r="C811" s="35"/>
    </row>
    <row r="812" spans="1:3" ht="12.75">
      <c r="A812" s="35"/>
      <c r="C812" s="35"/>
    </row>
    <row r="813" spans="1:3" ht="12.75">
      <c r="A813" s="35"/>
      <c r="C813" s="35"/>
    </row>
    <row r="814" spans="1:3" ht="12.75">
      <c r="A814" s="35"/>
      <c r="C814" s="35"/>
    </row>
    <row r="815" spans="1:3" ht="12.75">
      <c r="A815" s="35"/>
      <c r="C815" s="35"/>
    </row>
    <row r="816" spans="1:3" ht="12.75">
      <c r="A816" s="35"/>
      <c r="C816" s="35"/>
    </row>
    <row r="817" spans="1:3" ht="12.75">
      <c r="A817" s="35"/>
      <c r="C817" s="35"/>
    </row>
    <row r="818" spans="1:3" ht="12.75">
      <c r="A818" s="35"/>
      <c r="C818" s="35"/>
    </row>
    <row r="819" spans="1:3" ht="12.75">
      <c r="A819" s="35"/>
      <c r="C819" s="35"/>
    </row>
    <row r="820" spans="1:3" ht="12.75">
      <c r="A820" s="35"/>
      <c r="C820" s="35"/>
    </row>
    <row r="821" spans="1:3" ht="12.75">
      <c r="A821" s="35"/>
      <c r="C821" s="35"/>
    </row>
    <row r="822" spans="1:3" ht="12.75">
      <c r="A822" s="35"/>
      <c r="C822" s="35"/>
    </row>
    <row r="823" spans="1:3" ht="12.75">
      <c r="A823" s="35"/>
      <c r="C823" s="35"/>
    </row>
    <row r="824" spans="1:3" ht="12.75">
      <c r="A824" s="35"/>
      <c r="C824" s="35"/>
    </row>
    <row r="825" spans="1:3" ht="12.75">
      <c r="A825" s="35"/>
      <c r="C825" s="35"/>
    </row>
    <row r="826" spans="1:3" ht="12.75">
      <c r="A826" s="35"/>
      <c r="C826" s="35"/>
    </row>
    <row r="827" spans="1:3" ht="12.75">
      <c r="A827" s="35"/>
      <c r="C827" s="35"/>
    </row>
    <row r="828" spans="1:3" ht="12.75">
      <c r="A828" s="35"/>
      <c r="C828" s="35"/>
    </row>
    <row r="829" spans="1:3" ht="12.75">
      <c r="A829" s="35"/>
      <c r="C829" s="35"/>
    </row>
    <row r="830" spans="1:3" ht="12.75">
      <c r="A830" s="35"/>
      <c r="C830" s="35"/>
    </row>
    <row r="831" spans="1:3" ht="12.75">
      <c r="A831" s="35"/>
      <c r="C831" s="35"/>
    </row>
    <row r="832" spans="1:3" ht="12.75">
      <c r="A832" s="35"/>
      <c r="C832" s="35"/>
    </row>
    <row r="833" spans="1:3" ht="12.75">
      <c r="A833" s="35"/>
      <c r="C833" s="35"/>
    </row>
    <row r="834" spans="1:3" ht="12.75">
      <c r="A834" s="35"/>
      <c r="C834" s="35"/>
    </row>
    <row r="835" spans="1:3" ht="12.75">
      <c r="A835" s="35"/>
      <c r="C835" s="35"/>
    </row>
    <row r="836" spans="1:3" ht="12.75">
      <c r="A836" s="35"/>
      <c r="C836" s="35"/>
    </row>
    <row r="837" spans="1:3" ht="12.75">
      <c r="A837" s="35"/>
      <c r="C837" s="35"/>
    </row>
    <row r="838" spans="1:3" ht="12.75">
      <c r="A838" s="35"/>
      <c r="C838" s="35"/>
    </row>
    <row r="839" spans="1:3" ht="12.75">
      <c r="A839" s="35"/>
      <c r="C839" s="35"/>
    </row>
    <row r="840" spans="1:3" ht="12.75">
      <c r="A840" s="35"/>
      <c r="C840" s="35"/>
    </row>
    <row r="841" spans="1:3" ht="12.75">
      <c r="A841" s="35"/>
      <c r="C841" s="35"/>
    </row>
    <row r="842" spans="1:3" ht="12.75">
      <c r="A842" s="35"/>
      <c r="C842" s="35"/>
    </row>
    <row r="843" spans="1:3" ht="12.75">
      <c r="A843" s="35"/>
      <c r="C843" s="35"/>
    </row>
    <row r="844" spans="1:3" ht="12.75">
      <c r="A844" s="35"/>
      <c r="C844" s="35"/>
    </row>
    <row r="845" spans="1:3" ht="12.75">
      <c r="A845" s="35"/>
      <c r="C845" s="35"/>
    </row>
    <row r="846" spans="1:3" ht="12.75">
      <c r="A846" s="35"/>
      <c r="C846" s="35"/>
    </row>
    <row r="847" spans="1:3" ht="12.75">
      <c r="A847" s="35"/>
      <c r="C847" s="35"/>
    </row>
    <row r="848" spans="1:3" ht="12.75">
      <c r="A848" s="35"/>
      <c r="C848" s="35"/>
    </row>
    <row r="849" spans="1:3" ht="12.75">
      <c r="A849" s="35"/>
      <c r="C849" s="35"/>
    </row>
    <row r="850" spans="1:3" ht="12.75">
      <c r="A850" s="35"/>
      <c r="C850" s="35"/>
    </row>
    <row r="851" spans="1:3" ht="12.75">
      <c r="A851" s="35"/>
      <c r="C851" s="35"/>
    </row>
    <row r="852" spans="1:3" ht="12.75">
      <c r="A852" s="35"/>
      <c r="C852" s="35"/>
    </row>
    <row r="853" spans="1:3" ht="12.75">
      <c r="A853" s="35"/>
      <c r="C853" s="35"/>
    </row>
    <row r="854" spans="1:3" ht="12.75">
      <c r="A854" s="35"/>
      <c r="C854" s="35"/>
    </row>
    <row r="855" spans="1:3" ht="12.75">
      <c r="A855" s="35"/>
      <c r="C855" s="35"/>
    </row>
    <row r="856" spans="1:3" ht="12.75">
      <c r="A856" s="35"/>
      <c r="C856" s="35"/>
    </row>
    <row r="857" spans="1:3" ht="12.75">
      <c r="A857" s="35"/>
      <c r="C857" s="35"/>
    </row>
    <row r="858" spans="1:3" ht="12.75">
      <c r="A858" s="35"/>
      <c r="C858" s="35"/>
    </row>
    <row r="859" spans="1:3" ht="12.75">
      <c r="A859" s="35"/>
      <c r="C859" s="35"/>
    </row>
    <row r="860" spans="1:3" ht="12.75">
      <c r="A860" s="35"/>
      <c r="C860" s="35"/>
    </row>
    <row r="861" spans="1:3" ht="12.75">
      <c r="A861" s="35"/>
      <c r="C861" s="35"/>
    </row>
    <row r="862" spans="1:3" ht="12.75">
      <c r="A862" s="35"/>
      <c r="C862" s="35"/>
    </row>
    <row r="863" spans="1:3" ht="12.75">
      <c r="A863" s="35"/>
      <c r="C863" s="35"/>
    </row>
    <row r="864" spans="1:3" ht="12.75">
      <c r="A864" s="35"/>
      <c r="C864" s="35"/>
    </row>
    <row r="865" spans="1:3" ht="12.75">
      <c r="A865" s="35"/>
      <c r="C865" s="35"/>
    </row>
    <row r="866" spans="1:3" ht="12.75">
      <c r="A866" s="35"/>
      <c r="C866" s="35"/>
    </row>
    <row r="867" spans="1:3" ht="12.75">
      <c r="A867" s="35"/>
      <c r="C867" s="35"/>
    </row>
    <row r="868" spans="1:3" ht="12.75">
      <c r="A868" s="35"/>
      <c r="C868" s="35"/>
    </row>
    <row r="869" spans="1:3" ht="12.75">
      <c r="A869" s="35"/>
      <c r="C869" s="35"/>
    </row>
    <row r="870" spans="1:3" ht="12.75">
      <c r="A870" s="35"/>
      <c r="C870" s="35"/>
    </row>
    <row r="871" spans="1:3" ht="12.75">
      <c r="A871" s="35"/>
      <c r="C871" s="35"/>
    </row>
    <row r="872" spans="1:3" ht="12.75">
      <c r="A872" s="35"/>
      <c r="C872" s="35"/>
    </row>
    <row r="873" spans="1:3" ht="12.75">
      <c r="A873" s="35"/>
      <c r="C873" s="35"/>
    </row>
    <row r="874" spans="1:3" ht="12.75">
      <c r="A874" s="35"/>
      <c r="C874" s="35"/>
    </row>
    <row r="875" spans="1:3" ht="12.75">
      <c r="A875" s="35"/>
      <c r="C875" s="35"/>
    </row>
    <row r="876" spans="1:3" ht="12.75">
      <c r="A876" s="35"/>
      <c r="C876" s="35"/>
    </row>
    <row r="877" spans="1:3" ht="12.75">
      <c r="A877" s="35"/>
      <c r="C877" s="35"/>
    </row>
    <row r="878" spans="1:3" ht="12.75">
      <c r="A878" s="35"/>
      <c r="C878" s="35"/>
    </row>
    <row r="879" spans="1:3" ht="12.75">
      <c r="A879" s="35"/>
      <c r="C879" s="35"/>
    </row>
    <row r="880" spans="1:3" ht="12.75">
      <c r="A880" s="35"/>
      <c r="C880" s="35"/>
    </row>
    <row r="881" spans="1:3" ht="12.75">
      <c r="A881" s="35"/>
      <c r="C881" s="35"/>
    </row>
    <row r="882" spans="1:3" ht="12.75">
      <c r="A882" s="35"/>
      <c r="C882" s="35"/>
    </row>
    <row r="883" spans="1:3" ht="12.75">
      <c r="A883" s="35"/>
      <c r="C883" s="35"/>
    </row>
    <row r="884" spans="1:3" ht="12.75">
      <c r="A884" s="35"/>
      <c r="C884" s="35"/>
    </row>
    <row r="885" spans="1:3" ht="12.75">
      <c r="A885" s="35"/>
      <c r="C885" s="35"/>
    </row>
    <row r="886" spans="1:3" ht="12.75">
      <c r="A886" s="35"/>
      <c r="C886" s="35"/>
    </row>
    <row r="887" spans="1:3" ht="12.75">
      <c r="A887" s="35"/>
      <c r="C887" s="35"/>
    </row>
    <row r="888" spans="1:3" ht="12.75">
      <c r="A888" s="35"/>
      <c r="C888" s="35"/>
    </row>
    <row r="889" spans="1:3" ht="12.75">
      <c r="A889" s="35"/>
      <c r="C889" s="35"/>
    </row>
    <row r="890" spans="1:3" ht="12.75">
      <c r="A890" s="35"/>
      <c r="C890" s="35"/>
    </row>
    <row r="891" spans="1:3" ht="12.75">
      <c r="A891" s="35"/>
      <c r="C891" s="35"/>
    </row>
    <row r="892" spans="1:3" ht="12.75">
      <c r="A892" s="35"/>
      <c r="C892" s="35"/>
    </row>
    <row r="893" spans="1:3" ht="12.75">
      <c r="A893" s="35"/>
      <c r="C893" s="35"/>
    </row>
    <row r="894" spans="1:3" ht="12.75">
      <c r="A894" s="35"/>
      <c r="C894" s="35"/>
    </row>
    <row r="895" spans="1:3" ht="12.75">
      <c r="A895" s="35"/>
      <c r="C895" s="35"/>
    </row>
    <row r="896" spans="1:3" ht="12.75">
      <c r="A896" s="35"/>
      <c r="C896" s="35"/>
    </row>
    <row r="897" spans="1:3" ht="12.75">
      <c r="A897" s="35"/>
      <c r="C897" s="35"/>
    </row>
    <row r="898" spans="1:3" ht="12.75">
      <c r="A898" s="35"/>
      <c r="C898" s="35"/>
    </row>
    <row r="899" spans="1:3" ht="12.75">
      <c r="A899" s="35"/>
      <c r="C899" s="35"/>
    </row>
    <row r="900" spans="1:3" ht="12.75">
      <c r="A900" s="35"/>
      <c r="C900" s="35"/>
    </row>
    <row r="901" spans="1:3" ht="12.75">
      <c r="A901" s="35"/>
      <c r="C901" s="35"/>
    </row>
    <row r="902" spans="1:3" ht="12.75">
      <c r="A902" s="35"/>
      <c r="C902" s="35"/>
    </row>
    <row r="903" spans="1:3" ht="12.75">
      <c r="A903" s="35"/>
      <c r="C903" s="35"/>
    </row>
    <row r="904" spans="1:3" ht="12.75">
      <c r="A904" s="35"/>
      <c r="C904" s="35"/>
    </row>
    <row r="905" spans="1:3" ht="12.75">
      <c r="A905" s="35"/>
      <c r="C905" s="35"/>
    </row>
    <row r="906" spans="1:3" ht="12.75">
      <c r="A906" s="35"/>
      <c r="C906" s="35"/>
    </row>
    <row r="907" spans="1:3" ht="12.75">
      <c r="A907" s="35"/>
      <c r="C907" s="35"/>
    </row>
    <row r="908" spans="1:3" ht="12.75">
      <c r="A908" s="35"/>
      <c r="C908" s="35"/>
    </row>
    <row r="909" spans="1:3" ht="12.75">
      <c r="A909" s="35"/>
      <c r="C909" s="35"/>
    </row>
    <row r="910" spans="1:3" ht="12.75">
      <c r="A910" s="35"/>
      <c r="C910" s="35"/>
    </row>
    <row r="911" spans="1:3" ht="12.75">
      <c r="A911" s="35"/>
      <c r="C911" s="35"/>
    </row>
    <row r="912" spans="1:3" ht="12.75">
      <c r="A912" s="35"/>
      <c r="C912" s="35"/>
    </row>
    <row r="913" spans="1:3" ht="12.75">
      <c r="A913" s="35"/>
      <c r="C913" s="35"/>
    </row>
    <row r="914" spans="1:3" ht="12.75">
      <c r="A914" s="35"/>
      <c r="C914" s="35"/>
    </row>
    <row r="915" spans="1:3" ht="12.75">
      <c r="A915" s="35"/>
      <c r="C915" s="35"/>
    </row>
    <row r="916" spans="1:3" ht="12.75">
      <c r="A916" s="35"/>
      <c r="C916" s="35"/>
    </row>
    <row r="917" spans="1:3" ht="12.75">
      <c r="A917" s="35"/>
      <c r="C917" s="35"/>
    </row>
    <row r="918" spans="1:3" ht="12.75">
      <c r="A918" s="35"/>
      <c r="C918" s="35"/>
    </row>
    <row r="919" spans="1:3" ht="12.75">
      <c r="A919" s="35"/>
      <c r="C919" s="35"/>
    </row>
    <row r="920" spans="1:3" ht="12.75">
      <c r="A920" s="35"/>
      <c r="C920" s="35"/>
    </row>
    <row r="921" spans="1:3" ht="12.75">
      <c r="A921" s="35"/>
      <c r="C921" s="35"/>
    </row>
    <row r="922" spans="1:3" ht="12.75">
      <c r="A922" s="35"/>
      <c r="C922" s="35"/>
    </row>
    <row r="923" spans="1:3" ht="12.75">
      <c r="A923" s="35"/>
      <c r="C923" s="35"/>
    </row>
    <row r="924" spans="1:3" ht="12.75">
      <c r="A924" s="35"/>
      <c r="C924" s="35"/>
    </row>
    <row r="925" spans="1:3" ht="12.75">
      <c r="A925" s="35"/>
      <c r="C925" s="35"/>
    </row>
    <row r="926" spans="1:3" ht="12.75">
      <c r="A926" s="35"/>
      <c r="C926" s="35"/>
    </row>
    <row r="927" spans="1:3" ht="12.75">
      <c r="A927" s="35"/>
      <c r="C927" s="35"/>
    </row>
    <row r="928" spans="1:3" ht="12.75">
      <c r="A928" s="35"/>
      <c r="C928" s="35"/>
    </row>
    <row r="929" spans="1:3" ht="12.75">
      <c r="A929" s="35"/>
      <c r="C929" s="35"/>
    </row>
    <row r="930" spans="1:3" ht="12.75">
      <c r="A930" s="35"/>
      <c r="C930" s="35"/>
    </row>
    <row r="931" spans="1:3" ht="12.75">
      <c r="A931" s="35"/>
      <c r="C931" s="35"/>
    </row>
    <row r="932" spans="1:3" ht="12.75">
      <c r="A932" s="35"/>
      <c r="C932" s="35"/>
    </row>
    <row r="933" spans="1:3" ht="12.75">
      <c r="A933" s="35"/>
      <c r="C933" s="35"/>
    </row>
    <row r="934" spans="1:3" ht="12.75">
      <c r="A934" s="35"/>
      <c r="C934" s="35"/>
    </row>
    <row r="935" spans="1:3" ht="12.75">
      <c r="A935" s="35"/>
      <c r="C935" s="35"/>
    </row>
    <row r="936" spans="1:3" ht="12.75">
      <c r="A936" s="35"/>
      <c r="C936" s="35"/>
    </row>
    <row r="937" spans="1:3" ht="12.75">
      <c r="A937" s="35"/>
      <c r="C937" s="35"/>
    </row>
    <row r="938" spans="1:3" ht="12.75">
      <c r="A938" s="35"/>
      <c r="C938" s="35"/>
    </row>
    <row r="939" spans="1:3" ht="12.75">
      <c r="A939" s="35"/>
      <c r="C939" s="35"/>
    </row>
    <row r="940" spans="1:3" ht="12.75">
      <c r="A940" s="35"/>
      <c r="C940" s="35"/>
    </row>
    <row r="941" spans="1:3" ht="12.75">
      <c r="A941" s="35"/>
      <c r="C941" s="35"/>
    </row>
    <row r="942" spans="1:3" ht="12.75">
      <c r="A942" s="35"/>
      <c r="C942" s="35"/>
    </row>
    <row r="943" spans="1:3" ht="12.75">
      <c r="A943" s="35"/>
      <c r="C943" s="35"/>
    </row>
    <row r="944" spans="1:3" ht="12.75">
      <c r="A944" s="35"/>
      <c r="C944" s="35"/>
    </row>
    <row r="945" spans="1:3" ht="12.75">
      <c r="A945" s="35"/>
      <c r="C945" s="35"/>
    </row>
    <row r="946" spans="1:3" ht="12.75">
      <c r="A946" s="35"/>
      <c r="C946" s="35"/>
    </row>
    <row r="947" spans="1:3" ht="12.75">
      <c r="A947" s="35"/>
      <c r="C947" s="35"/>
    </row>
    <row r="948" spans="1:3" ht="12.75">
      <c r="A948" s="35"/>
      <c r="C948" s="35"/>
    </row>
    <row r="949" spans="1:3" ht="12.75">
      <c r="A949" s="35"/>
      <c r="C949" s="35"/>
    </row>
    <row r="950" spans="1:3" ht="12.75">
      <c r="A950" s="35"/>
      <c r="C950" s="35"/>
    </row>
    <row r="951" spans="1:3" ht="12.75">
      <c r="A951" s="35"/>
      <c r="C951" s="35"/>
    </row>
    <row r="952" spans="1:3" ht="12.75">
      <c r="A952" s="35"/>
      <c r="C952" s="35"/>
    </row>
    <row r="953" spans="1:3" ht="12.75">
      <c r="A953" s="35"/>
      <c r="C953" s="35"/>
    </row>
    <row r="954" spans="1:3" ht="12.75">
      <c r="A954" s="35"/>
      <c r="C954" s="35"/>
    </row>
    <row r="955" spans="1:3" ht="12.75">
      <c r="A955" s="35"/>
      <c r="C955" s="35"/>
    </row>
    <row r="956" spans="1:3" ht="12.75">
      <c r="A956" s="35"/>
      <c r="C956" s="35"/>
    </row>
    <row r="957" spans="1:3" ht="12.75">
      <c r="A957" s="35"/>
      <c r="C957" s="35"/>
    </row>
    <row r="958" spans="1:3" ht="12.75">
      <c r="A958" s="35"/>
      <c r="C958" s="35"/>
    </row>
    <row r="959" spans="1:3" ht="12.75">
      <c r="A959" s="35"/>
      <c r="C959" s="35"/>
    </row>
    <row r="960" spans="1:3" ht="12.75">
      <c r="A960" s="35"/>
      <c r="C960" s="35"/>
    </row>
    <row r="961" spans="1:3" ht="12.75">
      <c r="A961" s="35"/>
      <c r="C961" s="35"/>
    </row>
    <row r="962" spans="1:3" ht="12.75">
      <c r="A962" s="35"/>
      <c r="C962" s="35"/>
    </row>
    <row r="963" spans="1:3" ht="12.75">
      <c r="A963" s="35"/>
      <c r="C963" s="35"/>
    </row>
    <row r="964" spans="1:3" ht="12.75">
      <c r="A964" s="35"/>
      <c r="C964" s="35"/>
    </row>
    <row r="965" spans="1:3" ht="12.75">
      <c r="A965" s="35"/>
      <c r="C965" s="35"/>
    </row>
    <row r="966" spans="1:3" ht="12.75">
      <c r="A966" s="35"/>
      <c r="C966" s="35"/>
    </row>
    <row r="967" spans="1:3" ht="12.75">
      <c r="A967" s="35"/>
      <c r="C967" s="35"/>
    </row>
    <row r="968" spans="1:3" ht="12.75">
      <c r="A968" s="35"/>
      <c r="C968" s="35"/>
    </row>
    <row r="969" spans="1:3" ht="12.75">
      <c r="A969" s="35"/>
      <c r="C969" s="35"/>
    </row>
    <row r="970" spans="1:3" ht="12.75">
      <c r="A970" s="35"/>
      <c r="C970" s="35"/>
    </row>
    <row r="971" spans="1:3" ht="12.75">
      <c r="A971" s="35"/>
      <c r="C971" s="35"/>
    </row>
    <row r="972" spans="1:3" ht="12.75">
      <c r="A972" s="35"/>
      <c r="C972" s="35"/>
    </row>
    <row r="973" spans="1:3" ht="12.75">
      <c r="A973" s="35"/>
      <c r="C973" s="35"/>
    </row>
    <row r="974" spans="1:3" ht="12.75">
      <c r="A974" s="35"/>
      <c r="C974" s="35"/>
    </row>
    <row r="975" spans="1:3" ht="12.75">
      <c r="A975" s="35"/>
      <c r="C975" s="35"/>
    </row>
    <row r="976" spans="1:3" ht="12.75">
      <c r="A976" s="35"/>
      <c r="C976" s="35"/>
    </row>
    <row r="977" spans="1:3" ht="12.75">
      <c r="A977" s="35"/>
      <c r="C977" s="35"/>
    </row>
    <row r="978" spans="1:3" ht="12.75">
      <c r="A978" s="35"/>
      <c r="C978" s="35"/>
    </row>
    <row r="979" spans="1:3" ht="12.75">
      <c r="A979" s="35"/>
      <c r="C979" s="35"/>
    </row>
    <row r="980" spans="1:3" ht="12.75">
      <c r="A980" s="35"/>
      <c r="C980" s="35"/>
    </row>
    <row r="981" spans="1:3" ht="12.75">
      <c r="A981" s="35"/>
      <c r="C981" s="35"/>
    </row>
    <row r="982" spans="1:3" ht="12.75">
      <c r="A982" s="35"/>
      <c r="C982" s="35"/>
    </row>
    <row r="983" spans="1:3" ht="12.75">
      <c r="A983" s="35"/>
      <c r="C983" s="35"/>
    </row>
    <row r="984" spans="1:3" ht="12.75">
      <c r="A984" s="35"/>
      <c r="C984" s="35"/>
    </row>
    <row r="985" spans="1:3" ht="12.75">
      <c r="A985" s="35"/>
      <c r="C985" s="35"/>
    </row>
    <row r="986" spans="1:3" ht="12.75">
      <c r="A986" s="35"/>
      <c r="C986" s="35"/>
    </row>
    <row r="987" spans="1:3" ht="12.75">
      <c r="A987" s="35"/>
      <c r="C987" s="35"/>
    </row>
    <row r="988" spans="1:3" ht="12.75">
      <c r="A988" s="35"/>
      <c r="C988" s="35"/>
    </row>
    <row r="989" spans="1:3" ht="12.75">
      <c r="A989" s="35"/>
      <c r="C989" s="35"/>
    </row>
    <row r="990" spans="1:3" ht="12.75">
      <c r="A990" s="35"/>
      <c r="C990" s="35"/>
    </row>
    <row r="991" spans="1:3" ht="12.75">
      <c r="A991" s="35"/>
      <c r="C991" s="35"/>
    </row>
    <row r="992" spans="1:3" ht="12.75">
      <c r="A992" s="35"/>
      <c r="C992" s="35"/>
    </row>
    <row r="993" spans="1:3" ht="12.75">
      <c r="A993" s="35"/>
      <c r="C993" s="35"/>
    </row>
    <row r="994" spans="1:3" ht="12.75">
      <c r="A994" s="35"/>
      <c r="C994" s="35"/>
    </row>
    <row r="995" spans="1:3" ht="12.75">
      <c r="A995" s="35"/>
      <c r="C995" s="35"/>
    </row>
    <row r="996" spans="1:3" ht="12.75">
      <c r="A996" s="35"/>
      <c r="C996" s="35"/>
    </row>
    <row r="997" spans="1:3" ht="12.75">
      <c r="A997" s="35"/>
      <c r="C997" s="35"/>
    </row>
    <row r="998" spans="1:3" ht="12.75">
      <c r="A998" s="35"/>
      <c r="C998" s="35"/>
    </row>
    <row r="999" spans="1:3" ht="12.75">
      <c r="A999" s="35"/>
      <c r="C999" s="35"/>
    </row>
    <row r="1000" spans="1:3" ht="12.75">
      <c r="A1000" s="35"/>
      <c r="C1000" s="35"/>
    </row>
    <row r="1001" spans="1:3" ht="12.75">
      <c r="A1001" s="35"/>
      <c r="C1001" s="35"/>
    </row>
    <row r="1002" spans="1:3" ht="12.75">
      <c r="A1002" s="35"/>
      <c r="C1002" s="35"/>
    </row>
    <row r="1003" spans="1:3" ht="12.75">
      <c r="A1003" s="35"/>
      <c r="C1003" s="35"/>
    </row>
    <row r="1004" spans="1:3" ht="12.75">
      <c r="A1004" s="35"/>
      <c r="C1004" s="35"/>
    </row>
    <row r="1005" spans="1:3" ht="12.75">
      <c r="A1005" s="35"/>
      <c r="C1005" s="35"/>
    </row>
    <row r="1006" spans="1:3" ht="12.75">
      <c r="A1006" s="35"/>
      <c r="C1006" s="35"/>
    </row>
    <row r="1007" spans="1:3" ht="12.75">
      <c r="A1007" s="35"/>
      <c r="C1007" s="35"/>
    </row>
    <row r="1008" spans="1:3" ht="12.75">
      <c r="A1008" s="35"/>
      <c r="C1008" s="35"/>
    </row>
    <row r="1009" spans="1:3" ht="12.75">
      <c r="A1009" s="35"/>
      <c r="C1009" s="35"/>
    </row>
    <row r="1010" spans="1:3" ht="12.75">
      <c r="A1010" s="35"/>
      <c r="C1010" s="35"/>
    </row>
    <row r="1011" spans="1:3" ht="12.75">
      <c r="A1011" s="35"/>
      <c r="C1011" s="35"/>
    </row>
    <row r="1012" spans="1:3" ht="12.75">
      <c r="A1012" s="35"/>
      <c r="C1012" s="35"/>
    </row>
    <row r="1013" spans="1:3" ht="12.75">
      <c r="A1013" s="35"/>
      <c r="C1013" s="3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EABB4-C9CA-4CB9-8666-16FB10FBA74D}">
  <sheetPr codeName="Sheet44">
    <tabColor theme="0"/>
  </sheetPr>
  <dimension ref="A1:A31"/>
  <sheetViews>
    <sheetView workbookViewId="0">
      <selection activeCell="A15" sqref="A15"/>
    </sheetView>
  </sheetViews>
  <sheetFormatPr defaultColWidth="8.9296875" defaultRowHeight="12.75"/>
  <cols>
    <col min="1" max="1" width="100.33203125" style="16" customWidth="1"/>
    <col min="2" max="16384" width="8.9296875" style="16"/>
  </cols>
  <sheetData>
    <row r="1" spans="1:1" s="98" customFormat="1" ht="78" customHeight="1" thickTop="1" thickBot="1">
      <c r="A1" s="43" t="s">
        <v>529</v>
      </c>
    </row>
    <row r="2" spans="1:1" ht="13.15" thickTop="1"/>
    <row r="3" spans="1:1" s="44" customFormat="1" ht="28.5" customHeight="1">
      <c r="A3" s="115" t="s">
        <v>27</v>
      </c>
    </row>
    <row r="4" spans="1:1" ht="15">
      <c r="A4" s="45"/>
    </row>
    <row r="5" spans="1:1" ht="15">
      <c r="A5" s="116" t="s">
        <v>530</v>
      </c>
    </row>
    <row r="6" spans="1:1" ht="15">
      <c r="A6" s="45"/>
    </row>
    <row r="7" spans="1:1" ht="30">
      <c r="A7" s="46" t="s">
        <v>531</v>
      </c>
    </row>
    <row r="8" spans="1:1" ht="15">
      <c r="A8" s="45"/>
    </row>
    <row r="9" spans="1:1" ht="89.25" customHeight="1">
      <c r="A9" s="46" t="s">
        <v>532</v>
      </c>
    </row>
    <row r="10" spans="1:1" ht="15">
      <c r="A10" s="45"/>
    </row>
    <row r="11" spans="1:1" ht="56.25" customHeight="1">
      <c r="A11" s="46" t="s">
        <v>533</v>
      </c>
    </row>
    <row r="12" spans="1:1" ht="15">
      <c r="A12" s="45"/>
    </row>
    <row r="13" spans="1:1" ht="15">
      <c r="A13" s="46" t="s">
        <v>534</v>
      </c>
    </row>
    <row r="14" spans="1:1" ht="15">
      <c r="A14" s="45"/>
    </row>
    <row r="15" spans="1:1" ht="77.25">
      <c r="A15" s="46" t="s">
        <v>535</v>
      </c>
    </row>
    <row r="16" spans="1:1" ht="15">
      <c r="A16" s="45"/>
    </row>
    <row r="17" spans="1:1" ht="30">
      <c r="A17" s="46" t="s">
        <v>494</v>
      </c>
    </row>
    <row r="18" spans="1:1" ht="15">
      <c r="A18" s="45"/>
    </row>
    <row r="19" spans="1:1" ht="30">
      <c r="A19" s="46" t="s">
        <v>536</v>
      </c>
    </row>
    <row r="20" spans="1:1">
      <c r="A20" s="47"/>
    </row>
    <row r="21" spans="1:1" ht="30">
      <c r="A21" s="46" t="s">
        <v>537</v>
      </c>
    </row>
    <row r="22" spans="1:1" ht="15">
      <c r="A22" s="45"/>
    </row>
    <row r="23" spans="1:1" ht="30">
      <c r="A23" s="46" t="s">
        <v>495</v>
      </c>
    </row>
    <row r="24" spans="1:1">
      <c r="A24" s="47"/>
    </row>
    <row r="25" spans="1:1" ht="36" customHeight="1">
      <c r="A25" s="46" t="s">
        <v>538</v>
      </c>
    </row>
    <row r="26" spans="1:1" ht="15">
      <c r="A26" s="45"/>
    </row>
    <row r="27" spans="1:1" ht="15">
      <c r="A27" s="45"/>
    </row>
    <row r="28" spans="1:1">
      <c r="A28" s="48" t="s">
        <v>28</v>
      </c>
    </row>
    <row r="29" spans="1:1">
      <c r="A29" s="117" t="s">
        <v>539</v>
      </c>
    </row>
    <row r="30" spans="1:1">
      <c r="A30" s="117" t="s">
        <v>540</v>
      </c>
    </row>
    <row r="31" spans="1:1" ht="15">
      <c r="A31" s="50"/>
    </row>
  </sheetData>
  <hyperlinks>
    <hyperlink ref="A29" r:id="rId1" xr:uid="{120A6AAE-EBD4-4E56-B399-FBB1F6BA5547}"/>
    <hyperlink ref="A30" r:id="rId2" xr:uid="{E0AD3617-65EC-4F03-8DEA-12A5E7550886}"/>
    <hyperlink ref="A3" r:id="rId3" xr:uid="{D93D1481-BF4E-441D-8ADD-FF7DE4757B5E}"/>
    <hyperlink ref="A5" r:id="rId4" xr:uid="{6223B4F6-1CE8-4E47-913E-A46A9DEB45A5}"/>
  </hyperlinks>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F275D-25C9-4661-8789-510C8B6435EF}">
  <sheetPr codeName="Sheet45">
    <tabColor theme="0"/>
  </sheetPr>
  <dimension ref="A1:A31"/>
  <sheetViews>
    <sheetView topLeftCell="A12" workbookViewId="0">
      <selection activeCell="A19" sqref="A19"/>
    </sheetView>
  </sheetViews>
  <sheetFormatPr defaultColWidth="8.9296875" defaultRowHeight="13.15"/>
  <cols>
    <col min="1" max="1" width="104" style="47" customWidth="1"/>
    <col min="2" max="16384" width="8.9296875" style="52"/>
  </cols>
  <sheetData>
    <row r="1" spans="1:1" ht="72.75" customHeight="1" thickTop="1" thickBot="1">
      <c r="A1" s="51" t="s">
        <v>541</v>
      </c>
    </row>
    <row r="2" spans="1:1" ht="13.5" thickTop="1"/>
    <row r="3" spans="1:1" s="54" customFormat="1" ht="27" customHeight="1">
      <c r="A3" s="53" t="s">
        <v>29</v>
      </c>
    </row>
    <row r="4" spans="1:1" ht="15">
      <c r="A4" s="45"/>
    </row>
    <row r="5" spans="1:1" ht="15">
      <c r="A5" s="118" t="s">
        <v>542</v>
      </c>
    </row>
    <row r="6" spans="1:1" ht="15">
      <c r="A6" s="45"/>
    </row>
    <row r="7" spans="1:1" ht="30">
      <c r="A7" s="55" t="s">
        <v>543</v>
      </c>
    </row>
    <row r="8" spans="1:1" ht="15">
      <c r="A8" s="45"/>
    </row>
    <row r="9" spans="1:1" ht="73.5" customHeight="1">
      <c r="A9" s="55" t="s">
        <v>544</v>
      </c>
    </row>
    <row r="10" spans="1:1" ht="15">
      <c r="A10" s="45"/>
    </row>
    <row r="11" spans="1:1" ht="30">
      <c r="A11" s="55" t="s">
        <v>545</v>
      </c>
    </row>
    <row r="12" spans="1:1" ht="15">
      <c r="A12" s="45"/>
    </row>
    <row r="13" spans="1:1" ht="30">
      <c r="A13" s="55" t="s">
        <v>496</v>
      </c>
    </row>
    <row r="14" spans="1:1" ht="15">
      <c r="A14" s="45"/>
    </row>
    <row r="15" spans="1:1" ht="45">
      <c r="A15" s="55" t="s">
        <v>546</v>
      </c>
    </row>
    <row r="16" spans="1:1" ht="15">
      <c r="A16" s="45"/>
    </row>
    <row r="17" spans="1:1" ht="30">
      <c r="A17" s="55" t="s">
        <v>497</v>
      </c>
    </row>
    <row r="18" spans="1:1" ht="15">
      <c r="A18" s="45"/>
    </row>
    <row r="19" spans="1:1" ht="107.25">
      <c r="A19" s="55" t="s">
        <v>547</v>
      </c>
    </row>
    <row r="20" spans="1:1" ht="15">
      <c r="A20" s="45"/>
    </row>
    <row r="21" spans="1:1" ht="15">
      <c r="A21" s="55" t="s">
        <v>498</v>
      </c>
    </row>
    <row r="22" spans="1:1" ht="15">
      <c r="A22" s="45"/>
    </row>
    <row r="23" spans="1:1" ht="15">
      <c r="A23" s="55" t="s">
        <v>548</v>
      </c>
    </row>
    <row r="24" spans="1:1" ht="15">
      <c r="A24" s="45"/>
    </row>
    <row r="25" spans="1:1" ht="47.25">
      <c r="A25" s="55" t="s">
        <v>30</v>
      </c>
    </row>
    <row r="26" spans="1:1" ht="15">
      <c r="A26" s="45"/>
    </row>
    <row r="27" spans="1:1" ht="15">
      <c r="A27" s="45"/>
    </row>
    <row r="28" spans="1:1">
      <c r="A28" s="48" t="s">
        <v>28</v>
      </c>
    </row>
    <row r="29" spans="1:1">
      <c r="A29" s="49" t="s">
        <v>31</v>
      </c>
    </row>
    <row r="30" spans="1:1">
      <c r="A30" s="49" t="s">
        <v>32</v>
      </c>
    </row>
    <row r="31" spans="1:1" ht="15">
      <c r="A31" s="50"/>
    </row>
  </sheetData>
  <hyperlinks>
    <hyperlink ref="A29" r:id="rId1" display="http://index.digitalhealthindex.org/methodology" xr:uid="{0F4FEA86-90E5-4B42-911C-148EEE7567CB}"/>
    <hyperlink ref="A30" r:id="rId2" display="http://index.digitalhealthindex.org/map" xr:uid="{278A8599-B40A-4F67-A7C2-14EC38037CFE}"/>
    <hyperlink ref="A5" r:id="rId3" display="Click here to access the GDHI tool: https://www.digitalhealthindex.org/" xr:uid="{45489761-0294-43DA-B779-9141A701BA69}"/>
  </hyperlinks>
  <pageMargins left="0.7" right="0.7" top="0.75" bottom="0.75" header="0.3" footer="0.3"/>
  <pageSetup orientation="portrait" horizontalDpi="1200" verticalDpi="1200"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16529-9081-4305-9F67-F546BF2CCD1D}">
  <sheetPr codeName="Sheet46">
    <tabColor theme="0"/>
  </sheetPr>
  <dimension ref="A1:A29"/>
  <sheetViews>
    <sheetView workbookViewId="0"/>
  </sheetViews>
  <sheetFormatPr defaultColWidth="8.9296875" defaultRowHeight="12.75"/>
  <cols>
    <col min="1" max="1" width="99" style="57" customWidth="1"/>
    <col min="2" max="16384" width="8.9296875" style="57"/>
  </cols>
  <sheetData>
    <row r="1" spans="1:1" ht="79.5" customHeight="1" thickTop="1" thickBot="1">
      <c r="A1" s="56" t="s">
        <v>549</v>
      </c>
    </row>
    <row r="2" spans="1:1" ht="13.15" thickTop="1">
      <c r="A2" s="58"/>
    </row>
    <row r="3" spans="1:1" s="60" customFormat="1" ht="30.75" customHeight="1">
      <c r="A3" s="59" t="s">
        <v>218</v>
      </c>
    </row>
    <row r="4" spans="1:1" ht="15">
      <c r="A4" s="61"/>
    </row>
    <row r="5" spans="1:1" ht="15">
      <c r="A5" s="62" t="s">
        <v>550</v>
      </c>
    </row>
    <row r="6" spans="1:1" ht="15">
      <c r="A6" s="61"/>
    </row>
    <row r="7" spans="1:1" ht="30">
      <c r="A7" s="63" t="s">
        <v>551</v>
      </c>
    </row>
    <row r="8" spans="1:1" ht="15">
      <c r="A8" s="61"/>
    </row>
    <row r="9" spans="1:1" ht="62.25">
      <c r="A9" s="63" t="s">
        <v>552</v>
      </c>
    </row>
    <row r="10" spans="1:1" ht="15">
      <c r="A10" s="61"/>
    </row>
    <row r="11" spans="1:1" ht="15">
      <c r="A11" s="63" t="s">
        <v>553</v>
      </c>
    </row>
    <row r="12" spans="1:1" ht="15">
      <c r="A12" s="64"/>
    </row>
    <row r="13" spans="1:1" ht="15">
      <c r="A13" s="62" t="s">
        <v>554</v>
      </c>
    </row>
    <row r="14" spans="1:1" ht="15">
      <c r="A14" s="61"/>
    </row>
    <row r="15" spans="1:1" ht="60">
      <c r="A15" s="63" t="s">
        <v>555</v>
      </c>
    </row>
    <row r="16" spans="1:1" ht="15">
      <c r="A16" s="61"/>
    </row>
    <row r="17" spans="1:1" ht="15">
      <c r="A17" s="65" t="s">
        <v>500</v>
      </c>
    </row>
    <row r="18" spans="1:1" ht="15">
      <c r="A18" s="61"/>
    </row>
    <row r="19" spans="1:1" ht="30">
      <c r="A19" s="63" t="s">
        <v>556</v>
      </c>
    </row>
    <row r="20" spans="1:1" ht="15">
      <c r="A20" s="61"/>
    </row>
    <row r="21" spans="1:1" ht="15">
      <c r="A21" s="62" t="s">
        <v>557</v>
      </c>
    </row>
    <row r="22" spans="1:1" ht="15">
      <c r="A22" s="61"/>
    </row>
    <row r="23" spans="1:1" ht="30">
      <c r="A23" s="94" t="s">
        <v>499</v>
      </c>
    </row>
    <row r="25" spans="1:1" ht="15">
      <c r="A25" s="65" t="s">
        <v>558</v>
      </c>
    </row>
    <row r="26" spans="1:1" ht="15">
      <c r="A26" s="61"/>
    </row>
    <row r="28" spans="1:1">
      <c r="A28" s="66" t="s">
        <v>28</v>
      </c>
    </row>
    <row r="29" spans="1:1">
      <c r="A29" s="119" t="s">
        <v>559</v>
      </c>
    </row>
  </sheetData>
  <hyperlinks>
    <hyperlink ref="A29" r:id="rId1" xr:uid="{6C0BA9C0-A3D9-415C-B183-31C2999F53D8}"/>
    <hyperlink ref="A5" r:id="rId2" display="Click here to access the IMM tool: https://lib.digitalsquare.io/handle/123456789/1468" xr:uid="{D1693A36-DCF6-401F-B48D-87928EBD20F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CB64A-1651-4440-87BF-1A3F8AA07920}">
  <sheetPr codeName="Sheet47">
    <tabColor theme="0"/>
  </sheetPr>
  <dimension ref="A1:A30"/>
  <sheetViews>
    <sheetView workbookViewId="0">
      <selection activeCell="A5" sqref="A5"/>
    </sheetView>
  </sheetViews>
  <sheetFormatPr defaultColWidth="8.9296875" defaultRowHeight="12.75"/>
  <cols>
    <col min="1" max="1" width="99.53125" style="58" customWidth="1"/>
    <col min="2" max="16384" width="8.9296875" style="58"/>
  </cols>
  <sheetData>
    <row r="1" spans="1:1" ht="82.5" customHeight="1" thickTop="1" thickBot="1">
      <c r="A1" s="67" t="s">
        <v>560</v>
      </c>
    </row>
    <row r="2" spans="1:1" ht="13.15" thickTop="1"/>
    <row r="3" spans="1:1" s="69" customFormat="1" ht="30" customHeight="1">
      <c r="A3" s="68" t="s">
        <v>33</v>
      </c>
    </row>
    <row r="4" spans="1:1" ht="15">
      <c r="A4" s="61"/>
    </row>
    <row r="5" spans="1:1" ht="15">
      <c r="A5" s="70" t="s">
        <v>561</v>
      </c>
    </row>
    <row r="6" spans="1:1" ht="15">
      <c r="A6" s="61"/>
    </row>
    <row r="7" spans="1:1" ht="15">
      <c r="A7" s="70" t="s">
        <v>34</v>
      </c>
    </row>
    <row r="8" spans="1:1" ht="15">
      <c r="A8" s="61"/>
    </row>
    <row r="9" spans="1:1" ht="92.25">
      <c r="A9" s="70" t="s">
        <v>562</v>
      </c>
    </row>
    <row r="10" spans="1:1" ht="15">
      <c r="A10" s="61"/>
    </row>
    <row r="11" spans="1:1" ht="15">
      <c r="A11" s="70" t="s">
        <v>563</v>
      </c>
    </row>
    <row r="12" spans="1:1" ht="15">
      <c r="A12" s="61"/>
    </row>
    <row r="13" spans="1:1" ht="15">
      <c r="A13" s="70" t="s">
        <v>564</v>
      </c>
    </row>
    <row r="14" spans="1:1" ht="15">
      <c r="A14" s="61"/>
    </row>
    <row r="15" spans="1:1" ht="45">
      <c r="A15" s="70" t="s">
        <v>565</v>
      </c>
    </row>
    <row r="16" spans="1:1" ht="15">
      <c r="A16" s="61"/>
    </row>
    <row r="17" spans="1:1" ht="49.5" customHeight="1">
      <c r="A17" s="70" t="s">
        <v>566</v>
      </c>
    </row>
    <row r="18" spans="1:1" ht="15">
      <c r="A18" s="61"/>
    </row>
    <row r="19" spans="1:1" ht="92.25">
      <c r="A19" s="70" t="s">
        <v>567</v>
      </c>
    </row>
    <row r="20" spans="1:1" ht="15">
      <c r="A20" s="61"/>
    </row>
    <row r="21" spans="1:1" ht="15">
      <c r="A21" s="70" t="s">
        <v>503</v>
      </c>
    </row>
    <row r="22" spans="1:1" ht="15">
      <c r="A22" s="61"/>
    </row>
    <row r="23" spans="1:1" ht="15">
      <c r="A23" s="70" t="s">
        <v>502</v>
      </c>
    </row>
    <row r="24" spans="1:1" ht="15">
      <c r="A24" s="61"/>
    </row>
    <row r="25" spans="1:1" ht="15">
      <c r="A25" s="70" t="s">
        <v>501</v>
      </c>
    </row>
    <row r="26" spans="1:1" ht="15">
      <c r="A26" s="61"/>
    </row>
    <row r="27" spans="1:1" ht="15">
      <c r="A27" s="61"/>
    </row>
    <row r="28" spans="1:1">
      <c r="A28" s="48" t="s">
        <v>35</v>
      </c>
    </row>
    <row r="29" spans="1:1">
      <c r="A29" s="71" t="s">
        <v>36</v>
      </c>
    </row>
    <row r="30" spans="1:1">
      <c r="A30" s="71" t="s">
        <v>37</v>
      </c>
    </row>
  </sheetData>
  <hyperlinks>
    <hyperlink ref="A29" r:id="rId1" display="https://www.paho.org/ish/index.php/en/is4h-basics" xr:uid="{4AF9F3F2-3448-4B2E-A765-A3580B4A914D}"/>
    <hyperlink ref="A30" r:id="rId2" display="https://www.paho.org/ish/images/toolkit/IS4H-APG-EN.pdf?ua=1" xr:uid="{A4245C18-C787-4559-94DB-8357DE8E6B21}"/>
    <hyperlink ref="A5" r:id="rId3" display="Click here to access the IS4H tool: https://www3.paho.org/ish/index.php/en/toolkit" xr:uid="{39ADBBAF-0468-4BCD-B904-B49C479BE62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A1522-E74E-48B8-BBC5-5D15A607E3CC}">
  <sheetPr codeName="Sheet48">
    <tabColor theme="0"/>
  </sheetPr>
  <dimension ref="A1:A32"/>
  <sheetViews>
    <sheetView workbookViewId="0">
      <selection activeCell="A17" sqref="A17"/>
    </sheetView>
  </sheetViews>
  <sheetFormatPr defaultColWidth="8.9296875" defaultRowHeight="12.75"/>
  <cols>
    <col min="1" max="1" width="95.53125" style="57" customWidth="1"/>
    <col min="2" max="16384" width="8.9296875" style="57"/>
  </cols>
  <sheetData>
    <row r="1" spans="1:1" s="73" customFormat="1" ht="87.75" customHeight="1" thickTop="1" thickBot="1">
      <c r="A1" s="72" t="s">
        <v>726</v>
      </c>
    </row>
    <row r="2" spans="1:1" ht="13.15" thickTop="1"/>
    <row r="3" spans="1:1" s="44" customFormat="1" ht="32.25" customHeight="1">
      <c r="A3" s="74" t="s">
        <v>727</v>
      </c>
    </row>
    <row r="4" spans="1:1" ht="15">
      <c r="A4" s="61"/>
    </row>
    <row r="5" spans="1:1" ht="30">
      <c r="A5" s="75" t="s">
        <v>730</v>
      </c>
    </row>
    <row r="6" spans="1:1" ht="15">
      <c r="A6" s="45"/>
    </row>
    <row r="7" spans="1:1" ht="30">
      <c r="A7" s="75" t="s">
        <v>568</v>
      </c>
    </row>
    <row r="8" spans="1:1" ht="15">
      <c r="A8" s="45"/>
    </row>
    <row r="9" spans="1:1" ht="62.25">
      <c r="A9" s="75" t="s">
        <v>569</v>
      </c>
    </row>
    <row r="10" spans="1:1" ht="15">
      <c r="A10" s="45"/>
    </row>
    <row r="11" spans="1:1" ht="30">
      <c r="A11" s="75" t="s">
        <v>570</v>
      </c>
    </row>
    <row r="12" spans="1:1" ht="15">
      <c r="A12" s="45"/>
    </row>
    <row r="13" spans="1:1" ht="15">
      <c r="A13" s="75" t="s">
        <v>571</v>
      </c>
    </row>
    <row r="14" spans="1:1" ht="15">
      <c r="A14" s="45"/>
    </row>
    <row r="15" spans="1:1" ht="111" customHeight="1">
      <c r="A15" s="75" t="s">
        <v>572</v>
      </c>
    </row>
    <row r="16" spans="1:1" ht="15">
      <c r="A16" s="45"/>
    </row>
    <row r="17" spans="1:1" ht="45">
      <c r="A17" s="75" t="s">
        <v>731</v>
      </c>
    </row>
    <row r="18" spans="1:1" ht="15">
      <c r="A18" s="45"/>
    </row>
    <row r="19" spans="1:1" ht="62.25">
      <c r="A19" s="75" t="s">
        <v>504</v>
      </c>
    </row>
    <row r="20" spans="1:1" ht="15">
      <c r="A20" s="45"/>
    </row>
    <row r="21" spans="1:1" ht="15">
      <c r="A21" s="75" t="s">
        <v>505</v>
      </c>
    </row>
    <row r="22" spans="1:1" ht="15">
      <c r="A22" s="45"/>
    </row>
    <row r="23" spans="1:1" ht="30">
      <c r="A23" s="75" t="s">
        <v>573</v>
      </c>
    </row>
    <row r="24" spans="1:1" ht="15">
      <c r="A24" s="45"/>
    </row>
    <row r="25" spans="1:1" ht="30">
      <c r="A25" s="75" t="s">
        <v>506</v>
      </c>
    </row>
    <row r="26" spans="1:1" ht="15">
      <c r="A26" s="45"/>
    </row>
    <row r="27" spans="1:1" ht="15">
      <c r="A27" s="45"/>
    </row>
    <row r="28" spans="1:1">
      <c r="A28" s="48" t="s">
        <v>35</v>
      </c>
    </row>
    <row r="29" spans="1:1" ht="25.5">
      <c r="A29" s="49" t="s">
        <v>38</v>
      </c>
    </row>
    <row r="30" spans="1:1">
      <c r="A30" s="49" t="s">
        <v>39</v>
      </c>
    </row>
    <row r="31" spans="1:1" ht="15">
      <c r="A31" s="76"/>
    </row>
    <row r="32" spans="1:1" ht="15">
      <c r="A32" s="61"/>
    </row>
  </sheetData>
  <hyperlinks>
    <hyperlink ref="A29" r:id="rId1" display="https://cdn.who.int/media/docs/default-source/world-health-data-platform/score/who_2021-01-29_methodology-score_tb.pdf?sfvrsn=6c507a39_3&amp;download=true" xr:uid="{AA1AB3B8-E3A4-49A7-9D3A-1EBA3379F6E5}"/>
    <hyperlink ref="A30" r:id="rId2" display="https://www.who.int/news-room/q-a-detail/score-technical-package" xr:uid="{6C768CE7-127B-4548-8C49-67812F0D1DCF}"/>
    <hyperlink ref="A5" r:id="rId3" display="Click here to access the SCORE tool: https://www.who.int/data/data-collection-tools/score" xr:uid="{8A783821-7A5A-4498-BD08-2B9D19B374AF}"/>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55FF5-D1DF-47B8-8BEB-12813D4A5711}">
  <sheetPr codeName="Sheet49">
    <tabColor theme="0"/>
  </sheetPr>
  <dimension ref="A1:A29"/>
  <sheetViews>
    <sheetView workbookViewId="0">
      <selection activeCell="A29" sqref="A29"/>
    </sheetView>
  </sheetViews>
  <sheetFormatPr defaultColWidth="8.9296875" defaultRowHeight="13.15"/>
  <cols>
    <col min="1" max="1" width="92.59765625" style="47" customWidth="1"/>
    <col min="2" max="16384" width="8.9296875" style="78"/>
  </cols>
  <sheetData>
    <row r="1" spans="1:1" ht="89.25" customHeight="1" thickTop="1" thickBot="1">
      <c r="A1" s="77" t="s">
        <v>574</v>
      </c>
    </row>
    <row r="2" spans="1:1" ht="13.5" thickTop="1"/>
    <row r="3" spans="1:1" s="80" customFormat="1" ht="29.25" customHeight="1">
      <c r="A3" s="79" t="s">
        <v>40</v>
      </c>
    </row>
    <row r="4" spans="1:1" ht="15">
      <c r="A4" s="45"/>
    </row>
    <row r="5" spans="1:1" ht="15">
      <c r="A5" s="81" t="s">
        <v>575</v>
      </c>
    </row>
    <row r="6" spans="1:1" ht="15">
      <c r="A6" s="45"/>
    </row>
    <row r="7" spans="1:1" ht="30">
      <c r="A7" s="81" t="s">
        <v>576</v>
      </c>
    </row>
    <row r="8" spans="1:1" ht="15">
      <c r="A8" s="45"/>
    </row>
    <row r="9" spans="1:1" ht="74.25" customHeight="1">
      <c r="A9" s="81" t="s">
        <v>577</v>
      </c>
    </row>
    <row r="10" spans="1:1" ht="19.5" customHeight="1">
      <c r="A10" s="45"/>
    </row>
    <row r="11" spans="1:1" ht="30">
      <c r="A11" s="81" t="s">
        <v>578</v>
      </c>
    </row>
    <row r="12" spans="1:1" ht="15">
      <c r="A12" s="45"/>
    </row>
    <row r="13" spans="1:1" ht="30">
      <c r="A13" s="81" t="s">
        <v>579</v>
      </c>
    </row>
    <row r="14" spans="1:1" ht="15">
      <c r="A14" s="45"/>
    </row>
    <row r="15" spans="1:1" ht="75">
      <c r="A15" s="81" t="s">
        <v>580</v>
      </c>
    </row>
    <row r="16" spans="1:1" ht="15">
      <c r="A16" s="45"/>
    </row>
    <row r="17" spans="1:1" ht="36" customHeight="1">
      <c r="A17" s="81" t="s">
        <v>507</v>
      </c>
    </row>
    <row r="18" spans="1:1" ht="15">
      <c r="A18" s="45"/>
    </row>
    <row r="19" spans="1:1" ht="60">
      <c r="A19" s="81" t="s">
        <v>581</v>
      </c>
    </row>
    <row r="20" spans="1:1" ht="15">
      <c r="A20" s="45"/>
    </row>
    <row r="21" spans="1:1" ht="30">
      <c r="A21" s="81" t="s">
        <v>582</v>
      </c>
    </row>
    <row r="22" spans="1:1" ht="15">
      <c r="A22" s="45"/>
    </row>
    <row r="23" spans="1:1" ht="45">
      <c r="A23" s="81" t="s">
        <v>583</v>
      </c>
    </row>
    <row r="25" spans="1:1" ht="15">
      <c r="A25" s="81" t="s">
        <v>584</v>
      </c>
    </row>
    <row r="26" spans="1:1" ht="15">
      <c r="A26" s="45"/>
    </row>
    <row r="28" spans="1:1">
      <c r="A28" s="66" t="s">
        <v>28</v>
      </c>
    </row>
    <row r="29" spans="1:1">
      <c r="A29" s="82" t="s">
        <v>41</v>
      </c>
    </row>
  </sheetData>
  <hyperlinks>
    <hyperlink ref="A29" r:id="rId1" display="https://www.measureevaluation.org/resources/publications/ms-19-158/at_download/document" xr:uid="{8FCF5320-613F-477C-ADB7-BE233685C2E9}"/>
    <hyperlink ref="A5" r:id="rId2" xr:uid="{D0FE56EF-1F30-4013-B522-7E66EEE1332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CDF4C-5C44-4776-85F9-0D514070FD6D}">
  <sheetPr codeName="Sheet51"/>
  <dimension ref="A1:G991"/>
  <sheetViews>
    <sheetView workbookViewId="0">
      <selection activeCell="B30" sqref="B30"/>
    </sheetView>
  </sheetViews>
  <sheetFormatPr defaultColWidth="13.46484375" defaultRowHeight="15" customHeight="1"/>
  <cols>
    <col min="1" max="1" width="23.46484375" style="120" customWidth="1"/>
    <col min="2" max="2" width="33.53125" style="120" customWidth="1"/>
    <col min="3" max="3" width="39" style="120" customWidth="1"/>
    <col min="4" max="4" width="38.33203125" style="120" customWidth="1"/>
    <col min="5" max="5" width="24.06640625" style="120" customWidth="1"/>
    <col min="6" max="6" width="56.9296875" style="120" customWidth="1"/>
    <col min="7" max="26" width="12.59765625" style="120" customWidth="1"/>
    <col min="27" max="16384" width="13.46484375" style="120"/>
  </cols>
  <sheetData>
    <row r="1" spans="1:7" ht="77.25" customHeight="1">
      <c r="B1" s="294" t="s">
        <v>586</v>
      </c>
      <c r="C1" s="294"/>
      <c r="D1" s="294"/>
      <c r="E1" s="294"/>
      <c r="F1" s="294"/>
    </row>
    <row r="2" spans="1:7" ht="54" customHeight="1">
      <c r="B2" s="294"/>
      <c r="C2" s="294"/>
      <c r="D2" s="294"/>
      <c r="E2" s="294"/>
      <c r="F2" s="294"/>
    </row>
    <row r="3" spans="1:7" s="122" customFormat="1" ht="21" customHeight="1">
      <c r="A3" s="295" t="s">
        <v>587</v>
      </c>
      <c r="B3" s="295"/>
      <c r="C3" s="295"/>
      <c r="D3" s="295"/>
      <c r="E3" s="295"/>
      <c r="F3" s="295"/>
      <c r="G3" s="121"/>
    </row>
    <row r="4" spans="1:7" s="123" customFormat="1" ht="23.25" customHeight="1">
      <c r="A4" s="296" t="s">
        <v>588</v>
      </c>
      <c r="B4" s="297"/>
      <c r="C4" s="297"/>
      <c r="D4" s="297"/>
      <c r="E4" s="297"/>
      <c r="F4" s="297"/>
    </row>
    <row r="5" spans="1:7" ht="13.5" customHeight="1">
      <c r="A5" s="298" t="s">
        <v>589</v>
      </c>
      <c r="B5" s="298"/>
      <c r="C5" s="298"/>
      <c r="D5" s="298"/>
      <c r="E5" s="298"/>
      <c r="F5" s="298"/>
    </row>
    <row r="6" spans="1:7" ht="57.75" customHeight="1">
      <c r="A6" s="298"/>
      <c r="B6" s="298"/>
      <c r="C6" s="298"/>
      <c r="D6" s="298"/>
      <c r="E6" s="298"/>
      <c r="F6" s="298"/>
    </row>
    <row r="7" spans="1:7" s="123" customFormat="1" ht="24" customHeight="1">
      <c r="A7" s="299" t="s">
        <v>590</v>
      </c>
      <c r="B7" s="297"/>
      <c r="C7" s="297"/>
      <c r="D7" s="297"/>
      <c r="E7" s="297"/>
      <c r="F7" s="297"/>
    </row>
    <row r="8" spans="1:7" s="123" customFormat="1" ht="369.75" customHeight="1">
      <c r="A8" s="300" t="s">
        <v>591</v>
      </c>
      <c r="B8" s="301"/>
      <c r="C8" s="301"/>
      <c r="D8" s="301"/>
      <c r="E8" s="301"/>
      <c r="F8" s="301"/>
    </row>
    <row r="9" spans="1:7" ht="18" customHeight="1">
      <c r="A9" s="124"/>
    </row>
    <row r="10" spans="1:7" ht="18.75" customHeight="1">
      <c r="A10" s="293" t="s">
        <v>592</v>
      </c>
      <c r="B10" s="293"/>
      <c r="C10" s="293"/>
      <c r="D10" s="293"/>
    </row>
    <row r="11" spans="1:7">
      <c r="A11" s="125" t="s">
        <v>585</v>
      </c>
      <c r="B11" s="126" t="s">
        <v>593</v>
      </c>
      <c r="C11" s="126" t="s">
        <v>594</v>
      </c>
      <c r="D11" s="127" t="s">
        <v>595</v>
      </c>
    </row>
    <row r="12" spans="1:7">
      <c r="A12" s="128" t="s">
        <v>3</v>
      </c>
      <c r="B12" s="129" t="s">
        <v>596</v>
      </c>
      <c r="C12" s="129" t="s">
        <v>597</v>
      </c>
      <c r="D12" s="130" t="s">
        <v>598</v>
      </c>
    </row>
    <row r="13" spans="1:7">
      <c r="A13" s="128" t="s">
        <v>0</v>
      </c>
      <c r="B13" s="129" t="s">
        <v>599</v>
      </c>
      <c r="C13" s="129" t="s">
        <v>600</v>
      </c>
      <c r="D13" s="130" t="s">
        <v>601</v>
      </c>
    </row>
    <row r="14" spans="1:7" ht="15.75" customHeight="1">
      <c r="A14" s="128" t="s">
        <v>1</v>
      </c>
      <c r="B14" s="129" t="s">
        <v>602</v>
      </c>
      <c r="C14" s="129" t="s">
        <v>603</v>
      </c>
      <c r="D14" s="130" t="s">
        <v>604</v>
      </c>
    </row>
    <row r="15" spans="1:7" ht="15.75" customHeight="1">
      <c r="A15" s="128" t="s">
        <v>4</v>
      </c>
      <c r="B15" s="129" t="s">
        <v>605</v>
      </c>
      <c r="C15" s="129" t="s">
        <v>606</v>
      </c>
      <c r="D15" s="130" t="s">
        <v>601</v>
      </c>
    </row>
    <row r="16" spans="1:7" ht="15.75" customHeight="1">
      <c r="A16" s="128" t="s">
        <v>16</v>
      </c>
      <c r="B16" s="129" t="s">
        <v>607</v>
      </c>
      <c r="C16" s="129" t="s">
        <v>608</v>
      </c>
      <c r="D16" s="130" t="s">
        <v>598</v>
      </c>
    </row>
    <row r="17" spans="1:4" ht="15.75" customHeight="1">
      <c r="A17" s="131" t="s">
        <v>2</v>
      </c>
      <c r="B17" s="132" t="s">
        <v>602</v>
      </c>
      <c r="C17" s="132" t="s">
        <v>609</v>
      </c>
      <c r="D17" s="133" t="s">
        <v>610</v>
      </c>
    </row>
    <row r="18" spans="1:4" ht="15.75" customHeight="1"/>
    <row r="19" spans="1:4" ht="15.75" customHeight="1"/>
    <row r="20" spans="1:4" ht="15.75" customHeight="1"/>
    <row r="21" spans="1:4" ht="15.75" customHeight="1"/>
    <row r="22" spans="1:4" ht="15.75" customHeight="1"/>
    <row r="23" spans="1:4" ht="15.75" customHeight="1"/>
    <row r="24" spans="1:4" ht="15.75" customHeight="1"/>
    <row r="25" spans="1:4" ht="15.75" customHeight="1"/>
    <row r="26" spans="1:4" ht="15.75" customHeight="1"/>
    <row r="27" spans="1:4" ht="15.75" customHeight="1"/>
    <row r="28" spans="1:4" ht="15.75" customHeight="1"/>
    <row r="29" spans="1:4" ht="15.75" customHeight="1"/>
    <row r="30" spans="1:4" ht="15.75" customHeight="1"/>
    <row r="31" spans="1:4" ht="15.75" customHeight="1"/>
    <row r="32" spans="1:4"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sheetData>
  <mergeCells count="7">
    <mergeCell ref="A10:D10"/>
    <mergeCell ref="B1:F2"/>
    <mergeCell ref="A3:F3"/>
    <mergeCell ref="A4:F4"/>
    <mergeCell ref="A5:F6"/>
    <mergeCell ref="A7:F7"/>
    <mergeCell ref="A8:F8"/>
  </mergeCells>
  <hyperlinks>
    <hyperlink ref="A3:F3" r:id="rId1" location=":~:text=3%20Maturity%20Model-,What%20is%20a%20Global%20Good%3F,proven%20utility%20in%20several%20settings." display="Access the complete Navigator here: https://wiki.digitalsquare.io/index.php/What_are_Global_Goods#:~:text=3%20Maturity%20Model-,What%20is%20a%20Global%20Good%3F,proven%20utility%20in%20several%20settings." xr:uid="{FE6FA8FC-E09B-450F-BA8C-C32E9AF36CD8}"/>
  </hyperlinks>
  <pageMargins left="0.7" right="0.7" top="0.75" bottom="0.75" header="0" footer="0"/>
  <pageSetup orientation="landscape" r:id="rId2"/>
  <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12A71-E082-4CB3-BDBA-EC6540EAE076}">
  <sheetPr codeName="Sheet2">
    <tabColor rgb="FFFF0000"/>
  </sheetPr>
  <dimension ref="A1:N27"/>
  <sheetViews>
    <sheetView zoomScaleNormal="100" workbookViewId="0">
      <selection activeCell="B23" sqref="B23"/>
    </sheetView>
  </sheetViews>
  <sheetFormatPr defaultColWidth="9.59765625" defaultRowHeight="13.5"/>
  <cols>
    <col min="1" max="1" width="12" style="137" customWidth="1"/>
    <col min="2" max="2" width="27.59765625" style="137" customWidth="1"/>
    <col min="3" max="3" width="13.06640625" style="137" customWidth="1"/>
    <col min="4" max="4" width="32" style="137" customWidth="1"/>
    <col min="5" max="5" width="61.33203125" style="137" customWidth="1"/>
    <col min="6" max="6" width="44.59765625" style="137" customWidth="1"/>
    <col min="7" max="7" width="19" style="137" customWidth="1"/>
    <col min="8" max="13" width="9.59765625" style="137"/>
    <col min="14" max="14" width="24.59765625" style="137" customWidth="1"/>
    <col min="15" max="16384" width="9.59765625" style="137"/>
  </cols>
  <sheetData>
    <row r="1" spans="1:14" s="134" customFormat="1" ht="22.5">
      <c r="A1" s="302" t="s">
        <v>42</v>
      </c>
      <c r="B1" s="302"/>
      <c r="C1" s="302"/>
      <c r="D1" s="302"/>
      <c r="E1" s="302"/>
      <c r="F1" s="100"/>
      <c r="G1" s="100"/>
      <c r="H1" s="100"/>
      <c r="I1" s="100"/>
      <c r="J1" s="100"/>
      <c r="K1" s="100"/>
      <c r="L1" s="100"/>
      <c r="M1" s="100"/>
      <c r="N1" s="100"/>
    </row>
    <row r="2" spans="1:14" ht="37.5" customHeight="1">
      <c r="A2" s="303" t="s">
        <v>241</v>
      </c>
      <c r="B2" s="303"/>
      <c r="C2" s="303"/>
      <c r="D2" s="303"/>
      <c r="E2" s="303"/>
      <c r="F2" s="135"/>
      <c r="G2" s="136"/>
    </row>
    <row r="3" spans="1:14" ht="78.75" customHeight="1">
      <c r="A3" s="304" t="s">
        <v>611</v>
      </c>
      <c r="B3" s="304"/>
      <c r="C3" s="304"/>
      <c r="D3" s="304"/>
      <c r="E3" s="304"/>
    </row>
    <row r="4" spans="1:14" s="139" customFormat="1" ht="30">
      <c r="A4" s="138" t="s">
        <v>43</v>
      </c>
      <c r="B4" s="138" t="s">
        <v>240</v>
      </c>
      <c r="C4" s="138" t="s">
        <v>44</v>
      </c>
      <c r="D4" s="138" t="s">
        <v>239</v>
      </c>
      <c r="E4" s="138" t="s">
        <v>238</v>
      </c>
    </row>
    <row r="5" spans="1:14" s="134" customFormat="1" ht="40.5">
      <c r="A5" s="140" t="s">
        <v>45</v>
      </c>
      <c r="B5" s="141" t="s">
        <v>46</v>
      </c>
      <c r="C5" s="140" t="s">
        <v>47</v>
      </c>
      <c r="D5" s="141" t="s">
        <v>222</v>
      </c>
      <c r="E5" s="141" t="s">
        <v>48</v>
      </c>
      <c r="F5" s="100"/>
      <c r="G5" s="100"/>
      <c r="H5" s="100"/>
      <c r="I5" s="100"/>
      <c r="J5" s="100"/>
      <c r="K5" s="100"/>
      <c r="L5" s="100"/>
      <c r="M5" s="100"/>
      <c r="N5" s="100"/>
    </row>
    <row r="6" spans="1:14" ht="40.5">
      <c r="A6" s="142" t="s">
        <v>49</v>
      </c>
      <c r="B6" s="143" t="s">
        <v>50</v>
      </c>
      <c r="C6" s="143" t="s">
        <v>51</v>
      </c>
      <c r="D6" s="143" t="s">
        <v>237</v>
      </c>
      <c r="E6" s="143" t="s">
        <v>52</v>
      </c>
    </row>
    <row r="7" spans="1:14" ht="40.5">
      <c r="A7" s="142" t="s">
        <v>53</v>
      </c>
      <c r="B7" s="143" t="s">
        <v>54</v>
      </c>
      <c r="C7" s="142" t="s">
        <v>55</v>
      </c>
      <c r="D7" s="143" t="s">
        <v>236</v>
      </c>
      <c r="E7" s="143" t="s">
        <v>612</v>
      </c>
    </row>
    <row r="8" spans="1:14" ht="54">
      <c r="A8" s="142" t="s">
        <v>56</v>
      </c>
      <c r="B8" s="143" t="s">
        <v>57</v>
      </c>
      <c r="C8" s="143" t="s">
        <v>58</v>
      </c>
      <c r="D8" s="143" t="s">
        <v>235</v>
      </c>
      <c r="E8" s="143" t="s">
        <v>613</v>
      </c>
    </row>
    <row r="9" spans="1:14" ht="54">
      <c r="A9" s="142" t="s">
        <v>175</v>
      </c>
      <c r="B9" s="143" t="s">
        <v>429</v>
      </c>
      <c r="C9" s="143" t="s">
        <v>430</v>
      </c>
      <c r="D9" s="143" t="s">
        <v>431</v>
      </c>
      <c r="E9" s="143" t="s">
        <v>432</v>
      </c>
      <c r="F9" s="144"/>
    </row>
    <row r="10" spans="1:14" ht="40.5">
      <c r="A10" s="305" t="s">
        <v>59</v>
      </c>
      <c r="B10" s="306" t="s">
        <v>60</v>
      </c>
      <c r="C10" s="142" t="s">
        <v>61</v>
      </c>
      <c r="D10" s="143" t="s">
        <v>614</v>
      </c>
      <c r="E10" s="143" t="s">
        <v>615</v>
      </c>
    </row>
    <row r="11" spans="1:14" ht="67.5">
      <c r="A11" s="305"/>
      <c r="B11" s="306"/>
      <c r="C11" s="140" t="s">
        <v>63</v>
      </c>
      <c r="D11" s="141" t="s">
        <v>234</v>
      </c>
      <c r="E11" s="141" t="s">
        <v>616</v>
      </c>
    </row>
    <row r="12" spans="1:14" ht="40.5">
      <c r="A12" s="142" t="s">
        <v>64</v>
      </c>
      <c r="B12" s="143" t="s">
        <v>65</v>
      </c>
      <c r="C12" s="143" t="s">
        <v>66</v>
      </c>
      <c r="D12" s="143" t="s">
        <v>433</v>
      </c>
      <c r="E12" s="143" t="s">
        <v>67</v>
      </c>
      <c r="F12" s="144"/>
    </row>
    <row r="13" spans="1:14" ht="40.5">
      <c r="A13" s="142" t="s">
        <v>68</v>
      </c>
      <c r="B13" s="143" t="s">
        <v>617</v>
      </c>
      <c r="C13" s="143" t="s">
        <v>61</v>
      </c>
      <c r="D13" s="143" t="s">
        <v>614</v>
      </c>
      <c r="E13" s="143" t="s">
        <v>615</v>
      </c>
    </row>
    <row r="14" spans="1:14" s="134" customFormat="1" ht="40.5">
      <c r="A14" s="140" t="s">
        <v>69</v>
      </c>
      <c r="B14" s="141" t="s">
        <v>70</v>
      </c>
      <c r="C14" s="141" t="s">
        <v>47</v>
      </c>
      <c r="D14" s="141" t="s">
        <v>233</v>
      </c>
      <c r="E14" s="141" t="s">
        <v>48</v>
      </c>
    </row>
    <row r="15" spans="1:14" ht="27">
      <c r="A15" s="142" t="s">
        <v>71</v>
      </c>
      <c r="B15" s="143" t="s">
        <v>72</v>
      </c>
      <c r="C15" s="142" t="s">
        <v>73</v>
      </c>
      <c r="D15" s="143" t="s">
        <v>232</v>
      </c>
      <c r="E15" s="143" t="s">
        <v>618</v>
      </c>
    </row>
    <row r="16" spans="1:14" ht="40.5">
      <c r="A16" s="142" t="s">
        <v>74</v>
      </c>
      <c r="B16" s="143" t="s">
        <v>75</v>
      </c>
      <c r="C16" s="143" t="s">
        <v>76</v>
      </c>
      <c r="D16" s="143" t="s">
        <v>231</v>
      </c>
      <c r="E16" s="143" t="s">
        <v>619</v>
      </c>
    </row>
    <row r="17" spans="1:6" ht="67.5">
      <c r="A17" s="142" t="s">
        <v>77</v>
      </c>
      <c r="B17" s="143" t="s">
        <v>78</v>
      </c>
      <c r="C17" s="142" t="s">
        <v>79</v>
      </c>
      <c r="D17" s="143" t="s">
        <v>230</v>
      </c>
      <c r="E17" s="143" t="s">
        <v>620</v>
      </c>
    </row>
    <row r="18" spans="1:6" ht="40.5">
      <c r="A18" s="142" t="s">
        <v>80</v>
      </c>
      <c r="B18" s="143" t="s">
        <v>81</v>
      </c>
      <c r="C18" s="143" t="s">
        <v>82</v>
      </c>
      <c r="D18" s="143" t="s">
        <v>229</v>
      </c>
      <c r="E18" s="143" t="s">
        <v>621</v>
      </c>
    </row>
    <row r="19" spans="1:6" ht="40.5">
      <c r="A19" s="142" t="s">
        <v>83</v>
      </c>
      <c r="B19" s="143" t="s">
        <v>84</v>
      </c>
      <c r="C19" s="142" t="s">
        <v>82</v>
      </c>
      <c r="D19" s="143" t="s">
        <v>229</v>
      </c>
      <c r="E19" s="143" t="s">
        <v>621</v>
      </c>
    </row>
    <row r="20" spans="1:6" ht="54">
      <c r="A20" s="142" t="s">
        <v>85</v>
      </c>
      <c r="B20" s="143" t="s">
        <v>228</v>
      </c>
      <c r="C20" s="143" t="s">
        <v>87</v>
      </c>
      <c r="D20" s="143" t="s">
        <v>227</v>
      </c>
      <c r="E20" s="143" t="s">
        <v>226</v>
      </c>
    </row>
    <row r="21" spans="1:6" ht="40.5">
      <c r="A21" s="142" t="s">
        <v>88</v>
      </c>
      <c r="B21" s="143" t="s">
        <v>89</v>
      </c>
      <c r="C21" s="143" t="s">
        <v>90</v>
      </c>
      <c r="D21" s="143" t="s">
        <v>225</v>
      </c>
      <c r="E21" s="143" t="s">
        <v>91</v>
      </c>
    </row>
    <row r="22" spans="1:6" ht="40.5">
      <c r="A22" s="142" t="s">
        <v>417</v>
      </c>
      <c r="B22" s="143" t="s">
        <v>418</v>
      </c>
      <c r="C22" s="142" t="s">
        <v>328</v>
      </c>
      <c r="D22" s="143" t="s">
        <v>434</v>
      </c>
      <c r="E22" s="143" t="s">
        <v>435</v>
      </c>
      <c r="F22" s="144"/>
    </row>
    <row r="23" spans="1:6" s="134" customFormat="1" ht="40.5">
      <c r="A23" s="140" t="s">
        <v>96</v>
      </c>
      <c r="B23" s="141" t="s">
        <v>97</v>
      </c>
      <c r="C23" s="141" t="s">
        <v>94</v>
      </c>
      <c r="D23" s="141" t="s">
        <v>224</v>
      </c>
      <c r="E23" s="141" t="s">
        <v>622</v>
      </c>
    </row>
    <row r="24" spans="1:6" ht="27">
      <c r="A24" s="142" t="s">
        <v>98</v>
      </c>
      <c r="B24" s="143" t="s">
        <v>99</v>
      </c>
      <c r="C24" s="143" t="s">
        <v>100</v>
      </c>
      <c r="D24" s="143" t="s">
        <v>223</v>
      </c>
      <c r="E24" s="143" t="s">
        <v>101</v>
      </c>
    </row>
    <row r="25" spans="1:6" ht="40.5">
      <c r="A25" s="142" t="s">
        <v>102</v>
      </c>
      <c r="B25" s="143" t="s">
        <v>103</v>
      </c>
      <c r="C25" s="142" t="s">
        <v>47</v>
      </c>
      <c r="D25" s="143" t="s">
        <v>222</v>
      </c>
      <c r="E25" s="143" t="s">
        <v>48</v>
      </c>
    </row>
    <row r="26" spans="1:6" ht="40.5">
      <c r="A26" s="142" t="s">
        <v>104</v>
      </c>
      <c r="B26" s="143" t="s">
        <v>105</v>
      </c>
      <c r="C26" s="143" t="s">
        <v>55</v>
      </c>
      <c r="D26" s="143" t="s">
        <v>221</v>
      </c>
      <c r="E26" s="143" t="s">
        <v>612</v>
      </c>
    </row>
    <row r="27" spans="1:6" ht="15">
      <c r="A27" s="145"/>
      <c r="B27" s="145"/>
      <c r="C27" s="145"/>
      <c r="D27" s="145"/>
    </row>
  </sheetData>
  <mergeCells count="5">
    <mergeCell ref="A1:E1"/>
    <mergeCell ref="A2:E2"/>
    <mergeCell ref="A3:E3"/>
    <mergeCell ref="A10:A11"/>
    <mergeCell ref="B10:B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971D-DEFC-4D92-BC3C-174D3770318C}">
  <sheetPr codeName="Sheet3">
    <tabColor rgb="FFFF0000"/>
  </sheetPr>
  <dimension ref="A1:AT23"/>
  <sheetViews>
    <sheetView topLeftCell="A11" zoomScaleNormal="100" workbookViewId="0">
      <selection activeCell="B19" sqref="B19"/>
    </sheetView>
  </sheetViews>
  <sheetFormatPr defaultColWidth="9.59765625" defaultRowHeight="13.5"/>
  <cols>
    <col min="1" max="1" width="13.53125" style="137" customWidth="1"/>
    <col min="2" max="2" width="25" style="137" customWidth="1"/>
    <col min="3" max="3" width="11.9296875" style="137" customWidth="1"/>
    <col min="4" max="4" width="21.59765625" style="137" customWidth="1"/>
    <col min="5" max="5" width="62.9296875" style="137" customWidth="1"/>
    <col min="6" max="6" width="25.53125" style="137" customWidth="1"/>
    <col min="7" max="7" width="15.59765625" style="137" customWidth="1"/>
    <col min="8" max="8" width="16.46484375" style="137" customWidth="1"/>
    <col min="9" max="13" width="9.59765625" style="137"/>
    <col min="14" max="14" width="16.33203125" style="137" customWidth="1"/>
    <col min="15" max="16384" width="9.59765625" style="137"/>
  </cols>
  <sheetData>
    <row r="1" spans="1:46" ht="22.5">
      <c r="A1" s="307" t="s">
        <v>42</v>
      </c>
      <c r="B1" s="307"/>
      <c r="C1" s="307"/>
      <c r="D1" s="307"/>
      <c r="E1" s="307"/>
      <c r="F1" s="100"/>
      <c r="G1" s="100"/>
      <c r="H1" s="100"/>
      <c r="I1" s="100"/>
      <c r="J1" s="100"/>
      <c r="K1" s="100"/>
      <c r="L1" s="100"/>
      <c r="M1" s="100"/>
      <c r="N1" s="100"/>
    </row>
    <row r="2" spans="1:46" ht="42.75" customHeight="1">
      <c r="A2" s="308" t="s">
        <v>242</v>
      </c>
      <c r="B2" s="308"/>
      <c r="C2" s="308"/>
      <c r="D2" s="308"/>
      <c r="E2" s="308"/>
      <c r="F2" s="135"/>
      <c r="G2" s="136"/>
      <c r="H2" s="100"/>
      <c r="I2" s="100"/>
      <c r="J2" s="100"/>
      <c r="K2" s="100"/>
      <c r="L2" s="100"/>
      <c r="M2" s="100"/>
      <c r="N2" s="100"/>
    </row>
    <row r="3" spans="1:46" ht="84.75" customHeight="1">
      <c r="A3" s="309" t="s">
        <v>623</v>
      </c>
      <c r="B3" s="309"/>
      <c r="C3" s="309"/>
      <c r="D3" s="309"/>
      <c r="E3" s="309"/>
    </row>
    <row r="4" spans="1:46" s="147" customFormat="1" ht="30">
      <c r="A4" s="146" t="s">
        <v>43</v>
      </c>
      <c r="B4" s="146" t="s">
        <v>240</v>
      </c>
      <c r="C4" s="146" t="s">
        <v>106</v>
      </c>
      <c r="D4" s="146" t="s">
        <v>243</v>
      </c>
      <c r="E4" s="146" t="s">
        <v>244</v>
      </c>
      <c r="F4" s="100"/>
      <c r="G4" s="100"/>
      <c r="H4" s="100"/>
      <c r="I4" s="100"/>
      <c r="J4" s="100"/>
      <c r="K4" s="100"/>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100"/>
      <c r="AR4" s="100"/>
      <c r="AS4" s="100"/>
      <c r="AT4" s="100"/>
    </row>
    <row r="5" spans="1:46" s="150" customFormat="1" ht="40.5">
      <c r="A5" s="148" t="s">
        <v>372</v>
      </c>
      <c r="B5" s="149" t="s">
        <v>373</v>
      </c>
      <c r="C5" s="148" t="s">
        <v>107</v>
      </c>
      <c r="D5" s="149" t="s">
        <v>245</v>
      </c>
      <c r="E5" s="141" t="s">
        <v>108</v>
      </c>
      <c r="F5" s="100"/>
      <c r="G5" s="100"/>
      <c r="H5" s="100"/>
      <c r="I5" s="100"/>
      <c r="J5" s="100"/>
      <c r="K5" s="100"/>
      <c r="L5" s="100"/>
      <c r="M5" s="100"/>
      <c r="N5" s="100"/>
      <c r="O5" s="100"/>
      <c r="P5" s="100"/>
      <c r="Q5" s="100"/>
      <c r="R5" s="100"/>
      <c r="S5" s="100"/>
      <c r="T5" s="100"/>
      <c r="U5" s="100"/>
      <c r="V5" s="100"/>
      <c r="W5" s="100"/>
      <c r="X5" s="100"/>
      <c r="Y5" s="100"/>
      <c r="Z5" s="100"/>
      <c r="AA5" s="100"/>
      <c r="AB5" s="100"/>
      <c r="AC5" s="100"/>
      <c r="AD5" s="100"/>
      <c r="AE5" s="100"/>
      <c r="AF5" s="100"/>
      <c r="AG5" s="100"/>
      <c r="AH5" s="100"/>
      <c r="AI5" s="100"/>
      <c r="AJ5" s="100"/>
      <c r="AK5" s="100"/>
      <c r="AL5" s="100"/>
      <c r="AM5" s="100"/>
      <c r="AN5" s="100"/>
      <c r="AO5" s="100"/>
      <c r="AP5" s="100"/>
      <c r="AQ5" s="100"/>
      <c r="AR5" s="100"/>
      <c r="AS5" s="100"/>
      <c r="AT5" s="100"/>
    </row>
    <row r="6" spans="1:46" s="147" customFormat="1" ht="40.5">
      <c r="A6" s="143" t="s">
        <v>49</v>
      </c>
      <c r="B6" s="143" t="s">
        <v>412</v>
      </c>
      <c r="C6" s="143" t="s">
        <v>309</v>
      </c>
      <c r="D6" s="143" t="s">
        <v>359</v>
      </c>
      <c r="E6" s="143" t="s">
        <v>413</v>
      </c>
      <c r="F6" s="100"/>
      <c r="G6" s="100"/>
      <c r="H6" s="100"/>
      <c r="I6" s="100"/>
      <c r="J6" s="100"/>
      <c r="K6" s="100"/>
      <c r="L6" s="100"/>
      <c r="M6" s="100"/>
      <c r="N6" s="100"/>
      <c r="O6" s="100"/>
      <c r="P6" s="100"/>
      <c r="Q6" s="100"/>
      <c r="R6" s="100"/>
      <c r="S6" s="100"/>
      <c r="T6" s="100"/>
      <c r="U6" s="100"/>
      <c r="V6" s="100"/>
      <c r="W6" s="100"/>
      <c r="X6" s="100"/>
      <c r="Y6" s="100"/>
      <c r="Z6" s="100"/>
      <c r="AA6" s="100"/>
      <c r="AB6" s="100"/>
      <c r="AC6" s="100"/>
      <c r="AD6" s="100"/>
      <c r="AE6" s="100"/>
      <c r="AF6" s="100"/>
      <c r="AG6" s="100"/>
      <c r="AH6" s="100"/>
      <c r="AI6" s="100"/>
      <c r="AJ6" s="100"/>
      <c r="AK6" s="100"/>
      <c r="AL6" s="100"/>
      <c r="AM6" s="100"/>
      <c r="AN6" s="100"/>
      <c r="AO6" s="100"/>
      <c r="AP6" s="100"/>
      <c r="AQ6" s="100"/>
      <c r="AR6" s="100"/>
      <c r="AS6" s="100"/>
      <c r="AT6" s="100"/>
    </row>
    <row r="7" spans="1:46" s="134" customFormat="1" ht="40.5">
      <c r="A7" s="141" t="s">
        <v>53</v>
      </c>
      <c r="B7" s="141" t="s">
        <v>54</v>
      </c>
      <c r="C7" s="141" t="s">
        <v>107</v>
      </c>
      <c r="D7" s="141" t="s">
        <v>245</v>
      </c>
      <c r="E7" s="141" t="s">
        <v>108</v>
      </c>
      <c r="F7" s="100"/>
      <c r="G7" s="100"/>
      <c r="H7" s="100"/>
      <c r="I7" s="100"/>
      <c r="J7" s="100"/>
      <c r="K7" s="100"/>
      <c r="L7" s="100"/>
      <c r="M7" s="100"/>
      <c r="N7" s="100"/>
      <c r="O7" s="100"/>
      <c r="P7" s="100"/>
      <c r="Q7" s="100"/>
      <c r="R7" s="100"/>
      <c r="S7" s="100"/>
      <c r="T7" s="100"/>
      <c r="U7" s="100"/>
      <c r="V7" s="100"/>
      <c r="W7" s="100"/>
      <c r="X7" s="100"/>
      <c r="Y7" s="100"/>
      <c r="Z7" s="100"/>
      <c r="AA7" s="100"/>
      <c r="AB7" s="100"/>
      <c r="AC7" s="100"/>
      <c r="AD7" s="100"/>
      <c r="AE7" s="100"/>
      <c r="AF7" s="100"/>
      <c r="AG7" s="100"/>
      <c r="AH7" s="100"/>
      <c r="AI7" s="100"/>
      <c r="AJ7" s="100"/>
      <c r="AK7" s="100"/>
      <c r="AL7" s="100"/>
      <c r="AM7" s="100"/>
      <c r="AN7" s="100"/>
      <c r="AO7" s="100"/>
      <c r="AP7" s="100"/>
      <c r="AQ7" s="100"/>
      <c r="AR7" s="100"/>
      <c r="AS7" s="100"/>
      <c r="AT7" s="100"/>
    </row>
    <row r="8" spans="1:46" ht="40.5">
      <c r="A8" s="143" t="s">
        <v>56</v>
      </c>
      <c r="B8" s="143" t="s">
        <v>414</v>
      </c>
      <c r="C8" s="143" t="s">
        <v>296</v>
      </c>
      <c r="D8" s="143" t="s">
        <v>415</v>
      </c>
      <c r="E8" s="143" t="s">
        <v>416</v>
      </c>
      <c r="F8" s="144"/>
    </row>
    <row r="9" spans="1:46" ht="54">
      <c r="A9" s="143" t="s">
        <v>59</v>
      </c>
      <c r="B9" s="143" t="s">
        <v>60</v>
      </c>
      <c r="C9" s="143" t="s">
        <v>109</v>
      </c>
      <c r="D9" s="143" t="s">
        <v>246</v>
      </c>
      <c r="E9" s="143" t="s">
        <v>247</v>
      </c>
    </row>
    <row r="10" spans="1:46" ht="81">
      <c r="A10" s="143" t="s">
        <v>64</v>
      </c>
      <c r="B10" s="143" t="s">
        <v>65</v>
      </c>
      <c r="C10" s="143" t="s">
        <v>111</v>
      </c>
      <c r="D10" s="143" t="s">
        <v>248</v>
      </c>
      <c r="E10" s="143" t="s">
        <v>112</v>
      </c>
    </row>
    <row r="11" spans="1:46" s="134" customFormat="1" ht="81">
      <c r="A11" s="141" t="s">
        <v>69</v>
      </c>
      <c r="B11" s="141" t="s">
        <v>70</v>
      </c>
      <c r="C11" s="141" t="s">
        <v>113</v>
      </c>
      <c r="D11" s="141" t="s">
        <v>249</v>
      </c>
      <c r="E11" s="141" t="s">
        <v>114</v>
      </c>
      <c r="L11" s="151"/>
    </row>
    <row r="12" spans="1:46" ht="67.5">
      <c r="A12" s="143" t="s">
        <v>71</v>
      </c>
      <c r="B12" s="143" t="s">
        <v>72</v>
      </c>
      <c r="C12" s="143" t="s">
        <v>115</v>
      </c>
      <c r="D12" s="143" t="s">
        <v>250</v>
      </c>
      <c r="E12" s="143" t="s">
        <v>116</v>
      </c>
    </row>
    <row r="13" spans="1:46" ht="81">
      <c r="A13" s="143" t="s">
        <v>85</v>
      </c>
      <c r="B13" s="143" t="s">
        <v>251</v>
      </c>
      <c r="C13" s="143" t="s">
        <v>117</v>
      </c>
      <c r="D13" s="143" t="s">
        <v>252</v>
      </c>
      <c r="E13" s="143" t="s">
        <v>188</v>
      </c>
    </row>
    <row r="14" spans="1:46" ht="54">
      <c r="A14" s="143" t="s">
        <v>119</v>
      </c>
      <c r="B14" s="143" t="s">
        <v>120</v>
      </c>
      <c r="C14" s="143" t="s">
        <v>109</v>
      </c>
      <c r="D14" s="143" t="s">
        <v>246</v>
      </c>
      <c r="E14" s="143" t="s">
        <v>253</v>
      </c>
    </row>
    <row r="15" spans="1:46" ht="27">
      <c r="A15" s="143" t="s">
        <v>417</v>
      </c>
      <c r="B15" s="143" t="s">
        <v>418</v>
      </c>
      <c r="C15" s="143" t="s">
        <v>351</v>
      </c>
      <c r="D15" s="143" t="s">
        <v>352</v>
      </c>
      <c r="E15" s="143" t="s">
        <v>624</v>
      </c>
      <c r="F15" s="144"/>
    </row>
    <row r="16" spans="1:46" ht="40.5">
      <c r="A16" s="143" t="s">
        <v>92</v>
      </c>
      <c r="B16" s="143" t="s">
        <v>93</v>
      </c>
      <c r="C16" s="143" t="s">
        <v>121</v>
      </c>
      <c r="D16" s="143" t="s">
        <v>254</v>
      </c>
      <c r="E16" s="143" t="s">
        <v>289</v>
      </c>
    </row>
    <row r="17" spans="1:6" ht="54">
      <c r="A17" s="143" t="s">
        <v>123</v>
      </c>
      <c r="B17" s="143" t="s">
        <v>124</v>
      </c>
      <c r="C17" s="143" t="s">
        <v>125</v>
      </c>
      <c r="D17" s="143" t="s">
        <v>255</v>
      </c>
      <c r="E17" s="143" t="s">
        <v>126</v>
      </c>
    </row>
    <row r="18" spans="1:6" ht="27">
      <c r="A18" s="143" t="s">
        <v>419</v>
      </c>
      <c r="B18" s="143" t="s">
        <v>420</v>
      </c>
      <c r="C18" s="143" t="s">
        <v>339</v>
      </c>
      <c r="D18" s="143" t="s">
        <v>421</v>
      </c>
      <c r="E18" s="143" t="s">
        <v>625</v>
      </c>
      <c r="F18" s="144"/>
    </row>
    <row r="19" spans="1:6" ht="54">
      <c r="A19" s="143" t="s">
        <v>127</v>
      </c>
      <c r="B19" s="143" t="s">
        <v>128</v>
      </c>
      <c r="C19" s="143" t="s">
        <v>125</v>
      </c>
      <c r="D19" s="143" t="s">
        <v>255</v>
      </c>
      <c r="E19" s="143" t="s">
        <v>126</v>
      </c>
    </row>
    <row r="20" spans="1:6" ht="40.5">
      <c r="A20" s="143" t="s">
        <v>375</v>
      </c>
      <c r="B20" s="143" t="s">
        <v>376</v>
      </c>
      <c r="C20" s="143" t="s">
        <v>302</v>
      </c>
      <c r="D20" s="143" t="s">
        <v>303</v>
      </c>
      <c r="E20" s="143" t="s">
        <v>304</v>
      </c>
      <c r="F20" s="144"/>
    </row>
    <row r="21" spans="1:6" ht="94.5">
      <c r="A21" s="143" t="s">
        <v>129</v>
      </c>
      <c r="B21" s="143" t="s">
        <v>626</v>
      </c>
      <c r="C21" s="143" t="s">
        <v>131</v>
      </c>
      <c r="D21" s="143" t="s">
        <v>256</v>
      </c>
      <c r="E21" s="143" t="s">
        <v>132</v>
      </c>
    </row>
    <row r="22" spans="1:6" ht="81">
      <c r="A22" s="143" t="s">
        <v>102</v>
      </c>
      <c r="B22" s="143" t="s">
        <v>103</v>
      </c>
      <c r="C22" s="143" t="s">
        <v>113</v>
      </c>
      <c r="D22" s="143" t="s">
        <v>249</v>
      </c>
      <c r="E22" s="143" t="s">
        <v>114</v>
      </c>
    </row>
    <row r="23" spans="1:6" ht="40.5">
      <c r="A23" s="143" t="s">
        <v>133</v>
      </c>
      <c r="B23" s="143" t="s">
        <v>134</v>
      </c>
      <c r="C23" s="143" t="s">
        <v>135</v>
      </c>
      <c r="D23" s="143" t="s">
        <v>257</v>
      </c>
      <c r="E23" s="143" t="s">
        <v>136</v>
      </c>
    </row>
  </sheetData>
  <mergeCells count="3">
    <mergeCell ref="A1:E1"/>
    <mergeCell ref="A2:E2"/>
    <mergeCell ref="A3:E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17807-431B-4295-8A90-FC5E2E3BFCC9}">
  <sheetPr codeName="Sheet4">
    <tabColor rgb="FFFF0000"/>
  </sheetPr>
  <dimension ref="A1:U23"/>
  <sheetViews>
    <sheetView topLeftCell="A9" workbookViewId="0">
      <selection activeCell="E18" sqref="E18"/>
    </sheetView>
  </sheetViews>
  <sheetFormatPr defaultColWidth="9.59765625" defaultRowHeight="13.5"/>
  <cols>
    <col min="1" max="1" width="13.53125" style="137" customWidth="1"/>
    <col min="2" max="2" width="24.46484375" style="137" customWidth="1"/>
    <col min="3" max="3" width="11.9296875" style="137" customWidth="1"/>
    <col min="4" max="4" width="24.46484375" style="137" customWidth="1"/>
    <col min="5" max="5" width="57" style="137" customWidth="1"/>
    <col min="6" max="6" width="19.06640625" style="137" customWidth="1"/>
    <col min="7" max="7" width="15.46484375" style="137" customWidth="1"/>
    <col min="8" max="12" width="9.59765625" style="137"/>
    <col min="13" max="13" width="17.33203125" style="137" customWidth="1"/>
    <col min="14" max="16384" width="9.59765625" style="137"/>
  </cols>
  <sheetData>
    <row r="1" spans="1:21" ht="22.5">
      <c r="A1" s="307" t="s">
        <v>42</v>
      </c>
      <c r="B1" s="307"/>
      <c r="C1" s="307"/>
      <c r="D1" s="307"/>
      <c r="E1" s="307"/>
      <c r="F1" s="100"/>
      <c r="G1" s="100"/>
      <c r="H1" s="100"/>
      <c r="I1" s="100"/>
      <c r="J1" s="100"/>
      <c r="K1" s="100"/>
      <c r="L1" s="100"/>
      <c r="M1" s="100"/>
    </row>
    <row r="2" spans="1:21" ht="48" customHeight="1">
      <c r="A2" s="310" t="s">
        <v>242</v>
      </c>
      <c r="B2" s="310"/>
      <c r="C2" s="310"/>
      <c r="D2" s="310"/>
      <c r="E2" s="310"/>
      <c r="F2" s="152"/>
      <c r="G2" s="152"/>
    </row>
    <row r="3" spans="1:21" ht="76.5" customHeight="1">
      <c r="A3" s="311" t="s">
        <v>627</v>
      </c>
      <c r="B3" s="311"/>
      <c r="C3" s="311"/>
      <c r="D3" s="311"/>
      <c r="E3" s="311"/>
      <c r="F3" s="153"/>
      <c r="G3" s="153"/>
      <c r="H3" s="153"/>
      <c r="I3" s="153"/>
      <c r="J3" s="153"/>
      <c r="K3" s="153"/>
      <c r="L3" s="153"/>
      <c r="M3" s="153"/>
    </row>
    <row r="4" spans="1:21" s="159" customFormat="1" ht="30">
      <c r="A4" s="154" t="s">
        <v>43</v>
      </c>
      <c r="B4" s="155" t="s">
        <v>240</v>
      </c>
      <c r="C4" s="156" t="s">
        <v>137</v>
      </c>
      <c r="D4" s="157" t="s">
        <v>272</v>
      </c>
      <c r="E4" s="158" t="s">
        <v>271</v>
      </c>
    </row>
    <row r="5" spans="1:21" s="160" customFormat="1" ht="40.5">
      <c r="A5" s="148" t="s">
        <v>372</v>
      </c>
      <c r="B5" s="149" t="s">
        <v>373</v>
      </c>
      <c r="C5" s="148" t="s">
        <v>140</v>
      </c>
      <c r="D5" s="149" t="s">
        <v>269</v>
      </c>
      <c r="E5" s="149" t="s">
        <v>141</v>
      </c>
      <c r="F5" s="100"/>
      <c r="G5" s="100"/>
      <c r="H5" s="100"/>
      <c r="I5" s="100"/>
      <c r="J5" s="100"/>
      <c r="K5" s="100"/>
      <c r="L5" s="100"/>
      <c r="M5" s="100"/>
      <c r="N5" s="100"/>
      <c r="O5" s="100"/>
      <c r="P5" s="100"/>
      <c r="Q5" s="100"/>
      <c r="R5" s="100"/>
      <c r="S5" s="100"/>
      <c r="T5" s="100"/>
      <c r="U5" s="100"/>
    </row>
    <row r="6" spans="1:21" ht="40.5">
      <c r="A6" s="161" t="s">
        <v>45</v>
      </c>
      <c r="B6" s="162" t="s">
        <v>46</v>
      </c>
      <c r="C6" s="163" t="s">
        <v>138</v>
      </c>
      <c r="D6" s="164" t="s">
        <v>270</v>
      </c>
      <c r="E6" s="165" t="s">
        <v>628</v>
      </c>
    </row>
    <row r="7" spans="1:21" ht="40.5">
      <c r="A7" s="162" t="s">
        <v>53</v>
      </c>
      <c r="B7" s="162" t="s">
        <v>54</v>
      </c>
      <c r="C7" s="163" t="s">
        <v>140</v>
      </c>
      <c r="D7" s="164" t="s">
        <v>269</v>
      </c>
      <c r="E7" s="165" t="s">
        <v>141</v>
      </c>
    </row>
    <row r="8" spans="1:21" ht="40.5">
      <c r="A8" s="166" t="s">
        <v>59</v>
      </c>
      <c r="B8" s="162" t="s">
        <v>60</v>
      </c>
      <c r="C8" s="167" t="s">
        <v>142</v>
      </c>
      <c r="D8" s="164" t="s">
        <v>268</v>
      </c>
      <c r="E8" s="165" t="s">
        <v>629</v>
      </c>
    </row>
    <row r="9" spans="1:21" ht="54">
      <c r="A9" s="168" t="s">
        <v>64</v>
      </c>
      <c r="B9" s="169" t="s">
        <v>65</v>
      </c>
      <c r="C9" s="170" t="s">
        <v>325</v>
      </c>
      <c r="D9" s="169" t="s">
        <v>326</v>
      </c>
      <c r="E9" s="169" t="s">
        <v>327</v>
      </c>
    </row>
    <row r="10" spans="1:21" ht="40.5">
      <c r="A10" s="164" t="s">
        <v>143</v>
      </c>
      <c r="B10" s="162" t="s">
        <v>144</v>
      </c>
      <c r="C10" s="171" t="s">
        <v>145</v>
      </c>
      <c r="D10" s="164" t="s">
        <v>267</v>
      </c>
      <c r="E10" s="165" t="s">
        <v>630</v>
      </c>
    </row>
    <row r="11" spans="1:21" ht="54">
      <c r="A11" s="161" t="s">
        <v>69</v>
      </c>
      <c r="B11" s="162" t="s">
        <v>70</v>
      </c>
      <c r="C11" s="163" t="s">
        <v>146</v>
      </c>
      <c r="D11" s="164" t="s">
        <v>260</v>
      </c>
      <c r="E11" s="165" t="s">
        <v>259</v>
      </c>
    </row>
    <row r="12" spans="1:21" ht="27">
      <c r="A12" s="161" t="s">
        <v>71</v>
      </c>
      <c r="B12" s="162" t="s">
        <v>72</v>
      </c>
      <c r="C12" s="163" t="s">
        <v>146</v>
      </c>
      <c r="D12" s="164" t="s">
        <v>260</v>
      </c>
      <c r="E12" s="165" t="s">
        <v>259</v>
      </c>
    </row>
    <row r="13" spans="1:21" ht="40.5">
      <c r="A13" s="161" t="s">
        <v>147</v>
      </c>
      <c r="B13" s="162" t="s">
        <v>148</v>
      </c>
      <c r="C13" s="163" t="s">
        <v>149</v>
      </c>
      <c r="D13" s="164" t="s">
        <v>266</v>
      </c>
      <c r="E13" s="165" t="s">
        <v>631</v>
      </c>
    </row>
    <row r="14" spans="1:21" ht="54">
      <c r="A14" s="161" t="s">
        <v>150</v>
      </c>
      <c r="B14" s="162" t="s">
        <v>151</v>
      </c>
      <c r="C14" s="163" t="s">
        <v>152</v>
      </c>
      <c r="D14" s="164" t="s">
        <v>265</v>
      </c>
      <c r="E14" s="165" t="s">
        <v>264</v>
      </c>
    </row>
    <row r="15" spans="1:21" ht="40.5">
      <c r="A15" s="161" t="s">
        <v>119</v>
      </c>
      <c r="B15" s="162" t="s">
        <v>120</v>
      </c>
      <c r="C15" s="163" t="s">
        <v>153</v>
      </c>
      <c r="D15" s="164" t="s">
        <v>263</v>
      </c>
      <c r="E15" s="165" t="s">
        <v>632</v>
      </c>
    </row>
    <row r="16" spans="1:21" ht="27">
      <c r="A16" s="161" t="s">
        <v>92</v>
      </c>
      <c r="B16" s="162" t="s">
        <v>93</v>
      </c>
      <c r="C16" s="163" t="s">
        <v>155</v>
      </c>
      <c r="D16" s="164" t="s">
        <v>262</v>
      </c>
      <c r="E16" s="165" t="s">
        <v>261</v>
      </c>
    </row>
    <row r="17" spans="1:6" ht="108">
      <c r="A17" s="161" t="s">
        <v>393</v>
      </c>
      <c r="B17" s="162" t="s">
        <v>633</v>
      </c>
      <c r="C17" s="163" t="s">
        <v>407</v>
      </c>
      <c r="D17" s="164" t="s">
        <v>422</v>
      </c>
      <c r="E17" s="165" t="s">
        <v>634</v>
      </c>
      <c r="F17" s="144"/>
    </row>
    <row r="18" spans="1:6" ht="40.5">
      <c r="A18" s="312" t="s">
        <v>123</v>
      </c>
      <c r="B18" s="312" t="s">
        <v>124</v>
      </c>
      <c r="C18" s="163" t="s">
        <v>423</v>
      </c>
      <c r="D18" s="164" t="s">
        <v>424</v>
      </c>
      <c r="E18" s="165" t="s">
        <v>425</v>
      </c>
      <c r="F18" s="144"/>
    </row>
    <row r="19" spans="1:6" ht="54">
      <c r="A19" s="313"/>
      <c r="B19" s="313"/>
      <c r="C19" s="163" t="s">
        <v>404</v>
      </c>
      <c r="D19" s="164" t="s">
        <v>405</v>
      </c>
      <c r="E19" s="169" t="s">
        <v>635</v>
      </c>
      <c r="F19" s="144"/>
    </row>
    <row r="20" spans="1:6" ht="81">
      <c r="A20" s="161" t="s">
        <v>167</v>
      </c>
      <c r="B20" s="162" t="s">
        <v>636</v>
      </c>
      <c r="C20" s="163" t="s">
        <v>426</v>
      </c>
      <c r="D20" s="164" t="s">
        <v>427</v>
      </c>
      <c r="E20" s="165" t="s">
        <v>428</v>
      </c>
      <c r="F20" s="144"/>
    </row>
    <row r="21" spans="1:6" ht="40.5">
      <c r="A21" s="166" t="s">
        <v>102</v>
      </c>
      <c r="B21" s="172" t="s">
        <v>103</v>
      </c>
      <c r="C21" s="167" t="s">
        <v>146</v>
      </c>
      <c r="D21" s="164" t="s">
        <v>260</v>
      </c>
      <c r="E21" s="165" t="s">
        <v>259</v>
      </c>
    </row>
    <row r="22" spans="1:6" ht="54">
      <c r="A22" s="143" t="s">
        <v>133</v>
      </c>
      <c r="B22" s="165" t="s">
        <v>134</v>
      </c>
      <c r="C22" s="173" t="s">
        <v>157</v>
      </c>
      <c r="D22" s="164" t="s">
        <v>258</v>
      </c>
      <c r="E22" s="165" t="s">
        <v>637</v>
      </c>
    </row>
    <row r="23" spans="1:6" ht="40.5">
      <c r="A23" s="174" t="s">
        <v>104</v>
      </c>
      <c r="B23" s="175" t="s">
        <v>105</v>
      </c>
      <c r="C23" s="176" t="s">
        <v>157</v>
      </c>
      <c r="D23" s="164" t="s">
        <v>258</v>
      </c>
      <c r="E23" s="165" t="s">
        <v>637</v>
      </c>
    </row>
  </sheetData>
  <mergeCells count="5">
    <mergeCell ref="A1:E1"/>
    <mergeCell ref="A2:E2"/>
    <mergeCell ref="A3:E3"/>
    <mergeCell ref="A18:A19"/>
    <mergeCell ref="B18:B19"/>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E27FA-01EA-4DCE-8158-E6B859B0DE46}">
  <sheetPr codeName="Sheet5">
    <tabColor rgb="FFFF0000"/>
  </sheetPr>
  <dimension ref="A1:M16"/>
  <sheetViews>
    <sheetView workbookViewId="0">
      <selection activeCell="B9" sqref="B9"/>
    </sheetView>
  </sheetViews>
  <sheetFormatPr defaultColWidth="9.59765625" defaultRowHeight="13.5"/>
  <cols>
    <col min="1" max="1" width="13.53125" style="137" customWidth="1"/>
    <col min="2" max="2" width="25.59765625" style="137" customWidth="1"/>
    <col min="3" max="3" width="15" style="137" customWidth="1"/>
    <col min="4" max="4" width="61.06640625" style="137" customWidth="1"/>
    <col min="5" max="5" width="9.59765625" style="137"/>
    <col min="6" max="6" width="17.46484375" style="137" customWidth="1"/>
    <col min="7" max="7" width="16.46484375" style="137" customWidth="1"/>
    <col min="8" max="12" width="9.59765625" style="137"/>
    <col min="13" max="13" width="18.53125" style="137" customWidth="1"/>
    <col min="14" max="16384" width="9.59765625" style="137"/>
  </cols>
  <sheetData>
    <row r="1" spans="1:13" ht="22.5">
      <c r="A1" s="307" t="s">
        <v>42</v>
      </c>
      <c r="B1" s="307"/>
      <c r="C1" s="307"/>
      <c r="D1" s="307"/>
      <c r="E1" s="177"/>
      <c r="F1" s="177"/>
      <c r="G1" s="177"/>
      <c r="H1" s="177"/>
      <c r="I1" s="177"/>
      <c r="J1" s="177"/>
      <c r="K1" s="177"/>
      <c r="L1" s="177"/>
      <c r="M1" s="177"/>
    </row>
    <row r="2" spans="1:13" s="153" customFormat="1" ht="54.75" customHeight="1">
      <c r="A2" s="314" t="s">
        <v>242</v>
      </c>
      <c r="B2" s="314"/>
      <c r="C2" s="314"/>
      <c r="D2" s="314"/>
      <c r="E2" s="178"/>
      <c r="F2" s="152"/>
    </row>
    <row r="3" spans="1:13" s="153" customFormat="1" ht="78.75" customHeight="1">
      <c r="A3" s="315" t="s">
        <v>638</v>
      </c>
      <c r="B3" s="315"/>
      <c r="C3" s="315"/>
      <c r="D3" s="315"/>
    </row>
    <row r="4" spans="1:13" s="159" customFormat="1" ht="30">
      <c r="A4" s="154" t="s">
        <v>43</v>
      </c>
      <c r="B4" s="155" t="s">
        <v>240</v>
      </c>
      <c r="C4" s="155" t="s">
        <v>172</v>
      </c>
      <c r="D4" s="179" t="s">
        <v>273</v>
      </c>
    </row>
    <row r="5" spans="1:13" ht="27">
      <c r="A5" s="161" t="s">
        <v>88</v>
      </c>
      <c r="B5" s="162" t="s">
        <v>89</v>
      </c>
      <c r="C5" s="180" t="s">
        <v>171</v>
      </c>
      <c r="D5" s="143" t="s">
        <v>639</v>
      </c>
    </row>
    <row r="6" spans="1:13">
      <c r="A6" s="161" t="s">
        <v>123</v>
      </c>
      <c r="B6" s="162" t="s">
        <v>124</v>
      </c>
      <c r="C6" s="180" t="s">
        <v>169</v>
      </c>
      <c r="D6" s="143" t="s">
        <v>640</v>
      </c>
    </row>
    <row r="7" spans="1:13" ht="81">
      <c r="A7" s="161" t="s">
        <v>167</v>
      </c>
      <c r="B7" s="162" t="s">
        <v>166</v>
      </c>
      <c r="C7" s="180" t="s">
        <v>165</v>
      </c>
      <c r="D7" s="143" t="s">
        <v>641</v>
      </c>
    </row>
    <row r="8" spans="1:13" ht="27">
      <c r="A8" s="161" t="s">
        <v>163</v>
      </c>
      <c r="B8" s="162" t="s">
        <v>162</v>
      </c>
      <c r="C8" s="180" t="s">
        <v>161</v>
      </c>
      <c r="D8" s="143" t="s">
        <v>642</v>
      </c>
    </row>
    <row r="9" spans="1:13">
      <c r="A9" s="166" t="s">
        <v>127</v>
      </c>
      <c r="B9" s="172" t="s">
        <v>128</v>
      </c>
      <c r="C9" s="181" t="s">
        <v>159</v>
      </c>
      <c r="D9" s="143" t="s">
        <v>643</v>
      </c>
    </row>
    <row r="10" spans="1:13" ht="15">
      <c r="A10" s="182"/>
      <c r="B10" s="182"/>
      <c r="C10" s="182"/>
      <c r="D10" s="183"/>
    </row>
    <row r="11" spans="1:13" ht="15">
      <c r="A11" s="183"/>
      <c r="B11" s="183"/>
      <c r="C11" s="183"/>
      <c r="D11" s="183"/>
    </row>
    <row r="12" spans="1:13" ht="15">
      <c r="A12" s="183"/>
      <c r="B12" s="183"/>
      <c r="C12" s="183"/>
      <c r="D12" s="183"/>
    </row>
    <row r="13" spans="1:13" ht="15">
      <c r="A13" s="183"/>
      <c r="B13" s="183"/>
      <c r="C13" s="183"/>
      <c r="D13" s="183"/>
    </row>
    <row r="14" spans="1:13" ht="15">
      <c r="A14" s="183"/>
      <c r="B14" s="183"/>
      <c r="C14" s="183"/>
      <c r="D14" s="183"/>
    </row>
    <row r="15" spans="1:13" ht="15">
      <c r="A15" s="183"/>
      <c r="B15" s="183"/>
      <c r="C15" s="183"/>
      <c r="D15" s="183"/>
    </row>
    <row r="16" spans="1:13" ht="15">
      <c r="A16" s="183"/>
      <c r="B16" s="183"/>
      <c r="C16" s="183"/>
      <c r="D16" s="183"/>
    </row>
  </sheetData>
  <mergeCells count="3">
    <mergeCell ref="A1:D1"/>
    <mergeCell ref="A2:D2"/>
    <mergeCell ref="A3:D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605DB-3921-452C-9914-42B42513AE78}">
  <sheetPr codeName="Sheet6">
    <tabColor rgb="FFFF0000"/>
  </sheetPr>
  <dimension ref="A1:G34"/>
  <sheetViews>
    <sheetView workbookViewId="0">
      <selection activeCell="B32" sqref="B32"/>
    </sheetView>
  </sheetViews>
  <sheetFormatPr defaultColWidth="9.59765625" defaultRowHeight="13.5"/>
  <cols>
    <col min="1" max="1" width="13.53125" style="137" customWidth="1"/>
    <col min="2" max="3" width="23.53125" style="137" customWidth="1"/>
    <col min="4" max="4" width="19.9296875" style="137" customWidth="1"/>
    <col min="5" max="5" width="57.59765625" style="137" customWidth="1"/>
    <col min="6" max="6" width="20.59765625" style="137" customWidth="1"/>
    <col min="7" max="7" width="14.33203125" style="137" customWidth="1"/>
    <col min="8" max="16384" width="9.59765625" style="137"/>
  </cols>
  <sheetData>
    <row r="1" spans="1:7" ht="22.5">
      <c r="A1" s="307" t="s">
        <v>42</v>
      </c>
      <c r="B1" s="307"/>
      <c r="C1" s="307"/>
      <c r="D1" s="307"/>
      <c r="E1" s="307"/>
      <c r="F1" s="177"/>
      <c r="G1" s="177"/>
    </row>
    <row r="2" spans="1:7" s="153" customFormat="1" ht="54.75" customHeight="1">
      <c r="A2" s="316" t="s">
        <v>242</v>
      </c>
      <c r="B2" s="316"/>
      <c r="C2" s="316"/>
      <c r="D2" s="316"/>
      <c r="E2" s="316"/>
      <c r="F2" s="152"/>
      <c r="G2" s="152"/>
    </row>
    <row r="3" spans="1:7" s="153" customFormat="1" ht="78.75" customHeight="1">
      <c r="A3" s="317" t="s">
        <v>644</v>
      </c>
      <c r="B3" s="317"/>
      <c r="C3" s="317"/>
      <c r="D3" s="317"/>
      <c r="E3" s="317"/>
    </row>
    <row r="4" spans="1:7" s="159" customFormat="1" ht="30">
      <c r="A4" s="154" t="s">
        <v>43</v>
      </c>
      <c r="B4" s="155" t="s">
        <v>240</v>
      </c>
      <c r="C4" s="156" t="s">
        <v>173</v>
      </c>
      <c r="D4" s="157" t="s">
        <v>274</v>
      </c>
      <c r="E4" s="158" t="s">
        <v>275</v>
      </c>
    </row>
    <row r="5" spans="1:7" s="159" customFormat="1" ht="40.5">
      <c r="A5" s="148" t="s">
        <v>372</v>
      </c>
      <c r="B5" s="149" t="s">
        <v>373</v>
      </c>
      <c r="C5" s="148" t="s">
        <v>174</v>
      </c>
      <c r="D5" s="149" t="s">
        <v>276</v>
      </c>
      <c r="E5" s="149" t="s">
        <v>108</v>
      </c>
    </row>
    <row r="6" spans="1:7" s="159" customFormat="1" ht="40.5">
      <c r="A6" s="148" t="s">
        <v>45</v>
      </c>
      <c r="B6" s="184" t="s">
        <v>46</v>
      </c>
      <c r="C6" s="148" t="s">
        <v>395</v>
      </c>
      <c r="D6" s="149" t="s">
        <v>396</v>
      </c>
      <c r="E6" s="149" t="s">
        <v>397</v>
      </c>
    </row>
    <row r="7" spans="1:7" ht="40.5">
      <c r="A7" s="162" t="s">
        <v>53</v>
      </c>
      <c r="B7" s="162" t="s">
        <v>54</v>
      </c>
      <c r="C7" s="163" t="s">
        <v>174</v>
      </c>
      <c r="D7" s="164" t="s">
        <v>276</v>
      </c>
      <c r="E7" s="165" t="s">
        <v>108</v>
      </c>
    </row>
    <row r="8" spans="1:7" ht="54">
      <c r="A8" s="161" t="s">
        <v>175</v>
      </c>
      <c r="B8" s="162" t="s">
        <v>176</v>
      </c>
      <c r="C8" s="163" t="s">
        <v>177</v>
      </c>
      <c r="D8" s="164" t="s">
        <v>277</v>
      </c>
      <c r="E8" s="165" t="s">
        <v>178</v>
      </c>
    </row>
    <row r="9" spans="1:7" ht="81">
      <c r="A9" s="166" t="s">
        <v>59</v>
      </c>
      <c r="B9" s="162" t="s">
        <v>60</v>
      </c>
      <c r="C9" s="167" t="s">
        <v>179</v>
      </c>
      <c r="D9" s="164" t="s">
        <v>278</v>
      </c>
      <c r="E9" s="165" t="s">
        <v>180</v>
      </c>
    </row>
    <row r="10" spans="1:7" ht="81">
      <c r="A10" s="164" t="s">
        <v>64</v>
      </c>
      <c r="B10" s="162" t="s">
        <v>65</v>
      </c>
      <c r="C10" s="171" t="s">
        <v>179</v>
      </c>
      <c r="D10" s="164" t="s">
        <v>278</v>
      </c>
      <c r="E10" s="165" t="s">
        <v>180</v>
      </c>
    </row>
    <row r="11" spans="1:7" ht="81">
      <c r="A11" s="161" t="s">
        <v>68</v>
      </c>
      <c r="B11" s="162" t="s">
        <v>617</v>
      </c>
      <c r="C11" s="163" t="s">
        <v>179</v>
      </c>
      <c r="D11" s="164" t="s">
        <v>278</v>
      </c>
      <c r="E11" s="165" t="s">
        <v>180</v>
      </c>
    </row>
    <row r="12" spans="1:7" ht="67.5">
      <c r="A12" s="148" t="s">
        <v>69</v>
      </c>
      <c r="B12" s="184" t="s">
        <v>436</v>
      </c>
      <c r="C12" s="148" t="s">
        <v>365</v>
      </c>
      <c r="D12" s="149" t="s">
        <v>366</v>
      </c>
      <c r="E12" s="149" t="s">
        <v>367</v>
      </c>
    </row>
    <row r="13" spans="1:7" ht="40.5">
      <c r="A13" s="161" t="s">
        <v>71</v>
      </c>
      <c r="B13" s="162" t="s">
        <v>72</v>
      </c>
      <c r="C13" s="163" t="s">
        <v>181</v>
      </c>
      <c r="D13" s="149" t="s">
        <v>279</v>
      </c>
      <c r="E13" s="165" t="s">
        <v>182</v>
      </c>
    </row>
    <row r="14" spans="1:7" ht="54">
      <c r="A14" s="161" t="s">
        <v>77</v>
      </c>
      <c r="B14" s="162" t="s">
        <v>78</v>
      </c>
      <c r="C14" s="163" t="s">
        <v>183</v>
      </c>
      <c r="D14" s="149" t="s">
        <v>78</v>
      </c>
      <c r="E14" s="165" t="s">
        <v>184</v>
      </c>
    </row>
    <row r="15" spans="1:7" ht="54">
      <c r="A15" s="161" t="s">
        <v>80</v>
      </c>
      <c r="B15" s="162" t="s">
        <v>81</v>
      </c>
      <c r="C15" s="163" t="s">
        <v>185</v>
      </c>
      <c r="D15" s="164" t="s">
        <v>280</v>
      </c>
      <c r="E15" s="165" t="s">
        <v>186</v>
      </c>
    </row>
    <row r="16" spans="1:7" ht="27">
      <c r="A16" s="161" t="s">
        <v>83</v>
      </c>
      <c r="B16" s="162" t="s">
        <v>84</v>
      </c>
      <c r="C16" s="163" t="s">
        <v>185</v>
      </c>
      <c r="D16" s="164" t="s">
        <v>280</v>
      </c>
      <c r="E16" s="165" t="s">
        <v>186</v>
      </c>
    </row>
    <row r="17" spans="1:6" ht="94.5">
      <c r="A17" s="161" t="s">
        <v>147</v>
      </c>
      <c r="B17" s="162" t="s">
        <v>148</v>
      </c>
      <c r="C17" s="163" t="s">
        <v>187</v>
      </c>
      <c r="D17" s="164" t="s">
        <v>281</v>
      </c>
      <c r="E17" s="165" t="s">
        <v>188</v>
      </c>
    </row>
    <row r="18" spans="1:6" ht="94.5">
      <c r="A18" s="161" t="s">
        <v>85</v>
      </c>
      <c r="B18" s="162" t="s">
        <v>86</v>
      </c>
      <c r="C18" s="163" t="s">
        <v>187</v>
      </c>
      <c r="D18" s="164" t="s">
        <v>281</v>
      </c>
      <c r="E18" s="165" t="s">
        <v>188</v>
      </c>
    </row>
    <row r="19" spans="1:6" ht="54">
      <c r="A19" s="161" t="s">
        <v>150</v>
      </c>
      <c r="B19" s="162" t="s">
        <v>151</v>
      </c>
      <c r="C19" s="163" t="s">
        <v>189</v>
      </c>
      <c r="D19" s="164" t="s">
        <v>282</v>
      </c>
      <c r="E19" s="165" t="s">
        <v>190</v>
      </c>
    </row>
    <row r="20" spans="1:6" ht="81">
      <c r="A20" s="161" t="s">
        <v>119</v>
      </c>
      <c r="B20" s="162" t="s">
        <v>120</v>
      </c>
      <c r="C20" s="163" t="s">
        <v>191</v>
      </c>
      <c r="D20" s="164" t="s">
        <v>283</v>
      </c>
      <c r="E20" s="165" t="s">
        <v>192</v>
      </c>
    </row>
    <row r="21" spans="1:6" ht="40.5">
      <c r="A21" s="161" t="s">
        <v>88</v>
      </c>
      <c r="B21" s="162" t="s">
        <v>89</v>
      </c>
      <c r="C21" s="163" t="s">
        <v>437</v>
      </c>
      <c r="D21" s="164" t="s">
        <v>438</v>
      </c>
      <c r="E21" s="165" t="s">
        <v>645</v>
      </c>
      <c r="F21" s="144"/>
    </row>
    <row r="22" spans="1:6" ht="94.5">
      <c r="A22" s="148" t="s">
        <v>92</v>
      </c>
      <c r="B22" s="184" t="s">
        <v>93</v>
      </c>
      <c r="C22" s="148" t="s">
        <v>354</v>
      </c>
      <c r="D22" s="149" t="s">
        <v>355</v>
      </c>
      <c r="E22" s="149" t="s">
        <v>356</v>
      </c>
      <c r="F22" s="144"/>
    </row>
    <row r="23" spans="1:6" ht="121.5">
      <c r="A23" s="148" t="s">
        <v>439</v>
      </c>
      <c r="B23" s="184" t="s">
        <v>646</v>
      </c>
      <c r="C23" s="148" t="s">
        <v>390</v>
      </c>
      <c r="D23" s="149" t="s">
        <v>391</v>
      </c>
      <c r="E23" s="149" t="s">
        <v>392</v>
      </c>
      <c r="F23" s="144"/>
    </row>
    <row r="24" spans="1:6" ht="54">
      <c r="A24" s="148" t="s">
        <v>440</v>
      </c>
      <c r="B24" s="184" t="s">
        <v>441</v>
      </c>
      <c r="C24" s="148" t="s">
        <v>442</v>
      </c>
      <c r="D24" s="149" t="s">
        <v>443</v>
      </c>
      <c r="E24" s="149" t="s">
        <v>444</v>
      </c>
      <c r="F24" s="144"/>
    </row>
    <row r="25" spans="1:6" ht="54">
      <c r="A25" s="148" t="s">
        <v>445</v>
      </c>
      <c r="B25" s="184" t="s">
        <v>446</v>
      </c>
      <c r="C25" s="148" t="s">
        <v>177</v>
      </c>
      <c r="D25" s="149" t="s">
        <v>277</v>
      </c>
      <c r="E25" s="185" t="s">
        <v>178</v>
      </c>
      <c r="F25" s="144"/>
    </row>
    <row r="26" spans="1:6" ht="54">
      <c r="A26" s="186" t="s">
        <v>447</v>
      </c>
      <c r="B26" s="187" t="s">
        <v>448</v>
      </c>
      <c r="C26" s="148" t="s">
        <v>449</v>
      </c>
      <c r="D26" s="149" t="s">
        <v>388</v>
      </c>
      <c r="E26" s="185" t="s">
        <v>389</v>
      </c>
      <c r="F26" s="144"/>
    </row>
    <row r="27" spans="1:6" ht="54">
      <c r="A27" s="148" t="s">
        <v>123</v>
      </c>
      <c r="B27" s="149" t="s">
        <v>124</v>
      </c>
      <c r="C27" s="148" t="s">
        <v>387</v>
      </c>
      <c r="D27" s="149" t="s">
        <v>388</v>
      </c>
      <c r="E27" s="149" t="s">
        <v>389</v>
      </c>
      <c r="F27" s="144"/>
    </row>
    <row r="28" spans="1:6" ht="54">
      <c r="A28" s="148" t="s">
        <v>450</v>
      </c>
      <c r="B28" s="188" t="s">
        <v>451</v>
      </c>
      <c r="C28" s="148" t="s">
        <v>387</v>
      </c>
      <c r="D28" s="149" t="s">
        <v>388</v>
      </c>
      <c r="E28" s="149" t="s">
        <v>389</v>
      </c>
      <c r="F28" s="144"/>
    </row>
    <row r="29" spans="1:6" ht="54">
      <c r="A29" s="148" t="s">
        <v>452</v>
      </c>
      <c r="B29" s="184" t="s">
        <v>647</v>
      </c>
      <c r="C29" s="148" t="s">
        <v>384</v>
      </c>
      <c r="D29" s="149" t="s">
        <v>385</v>
      </c>
      <c r="E29" s="149" t="s">
        <v>386</v>
      </c>
      <c r="F29" s="144"/>
    </row>
    <row r="30" spans="1:6" ht="54">
      <c r="A30" s="148" t="s">
        <v>648</v>
      </c>
      <c r="B30" s="184" t="s">
        <v>649</v>
      </c>
      <c r="C30" s="148" t="s">
        <v>384</v>
      </c>
      <c r="D30" s="149" t="s">
        <v>385</v>
      </c>
      <c r="E30" s="149" t="s">
        <v>386</v>
      </c>
      <c r="F30" s="144"/>
    </row>
    <row r="31" spans="1:6" ht="54">
      <c r="A31" s="148" t="s">
        <v>163</v>
      </c>
      <c r="B31" s="149" t="s">
        <v>162</v>
      </c>
      <c r="C31" s="148" t="s">
        <v>384</v>
      </c>
      <c r="D31" s="149" t="s">
        <v>385</v>
      </c>
      <c r="E31" s="149" t="s">
        <v>386</v>
      </c>
      <c r="F31" s="144"/>
    </row>
    <row r="32" spans="1:6" ht="40.5">
      <c r="A32" s="161" t="s">
        <v>127</v>
      </c>
      <c r="B32" s="162" t="s">
        <v>128</v>
      </c>
      <c r="C32" s="163" t="s">
        <v>342</v>
      </c>
      <c r="D32" s="164" t="s">
        <v>454</v>
      </c>
      <c r="E32" s="165" t="s">
        <v>455</v>
      </c>
      <c r="F32" s="144"/>
    </row>
    <row r="33" spans="1:5" ht="54">
      <c r="A33" s="148" t="s">
        <v>456</v>
      </c>
      <c r="B33" s="184" t="s">
        <v>457</v>
      </c>
      <c r="C33" s="148" t="s">
        <v>381</v>
      </c>
      <c r="D33" s="149" t="s">
        <v>382</v>
      </c>
      <c r="E33" s="149" t="s">
        <v>383</v>
      </c>
    </row>
    <row r="34" spans="1:5" ht="67.5">
      <c r="A34" s="148" t="s">
        <v>375</v>
      </c>
      <c r="B34" s="149" t="s">
        <v>376</v>
      </c>
      <c r="C34" s="148" t="s">
        <v>368</v>
      </c>
      <c r="D34" s="149" t="s">
        <v>303</v>
      </c>
      <c r="E34" s="149" t="s">
        <v>369</v>
      </c>
    </row>
  </sheetData>
  <mergeCells count="3">
    <mergeCell ref="A1:E1"/>
    <mergeCell ref="A2:E2"/>
    <mergeCell ref="A3:E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51919-DDAD-47A3-8F50-9FCB0390F743}">
  <sheetPr codeName="Sheet7">
    <tabColor rgb="FFFF0000"/>
    <pageSetUpPr fitToPage="1"/>
  </sheetPr>
  <dimension ref="A1:N35"/>
  <sheetViews>
    <sheetView topLeftCell="A13" workbookViewId="0">
      <selection activeCell="C21" sqref="C21"/>
    </sheetView>
  </sheetViews>
  <sheetFormatPr defaultColWidth="9.46484375" defaultRowHeight="13.5"/>
  <cols>
    <col min="1" max="1" width="12" style="137" bestFit="1" customWidth="1"/>
    <col min="2" max="2" width="32.06640625" style="137" customWidth="1"/>
    <col min="3" max="3" width="48" style="137" customWidth="1"/>
    <col min="4" max="4" width="12.59765625" style="137" bestFit="1" customWidth="1"/>
    <col min="5" max="5" width="49.06640625" style="137" customWidth="1"/>
    <col min="6" max="6" width="32.46484375" style="137" customWidth="1"/>
    <col min="7" max="7" width="15.59765625" style="137" customWidth="1"/>
    <col min="8" max="8" width="26.59765625" style="137" customWidth="1"/>
    <col min="9" max="9" width="25.33203125" style="137" customWidth="1"/>
    <col min="10" max="10" width="26" style="137" customWidth="1"/>
    <col min="11" max="11" width="30.33203125" style="137" customWidth="1"/>
    <col min="12" max="13" width="9.46484375" style="137"/>
    <col min="14" max="14" width="29.33203125" style="137" customWidth="1"/>
    <col min="15" max="16384" width="9.46484375" style="137"/>
  </cols>
  <sheetData>
    <row r="1" spans="1:14" ht="22.5">
      <c r="A1" s="307" t="s">
        <v>42</v>
      </c>
      <c r="B1" s="307"/>
      <c r="C1" s="307"/>
      <c r="D1" s="307"/>
      <c r="E1" s="307"/>
      <c r="F1" s="177"/>
      <c r="G1" s="177"/>
      <c r="H1" s="177"/>
      <c r="I1" s="177"/>
      <c r="J1" s="177"/>
      <c r="K1" s="177"/>
      <c r="L1" s="177"/>
      <c r="M1" s="177"/>
      <c r="N1" s="177"/>
    </row>
    <row r="2" spans="1:14" ht="56.25" customHeight="1">
      <c r="A2" s="318" t="s">
        <v>284</v>
      </c>
      <c r="B2" s="318"/>
      <c r="C2" s="318"/>
      <c r="D2" s="318"/>
      <c r="E2" s="318"/>
      <c r="F2" s="136"/>
    </row>
    <row r="3" spans="1:14" ht="66" customHeight="1">
      <c r="A3" s="319" t="s">
        <v>650</v>
      </c>
      <c r="B3" s="319"/>
      <c r="C3" s="319"/>
      <c r="D3" s="319"/>
      <c r="E3" s="319"/>
      <c r="F3" s="189"/>
      <c r="G3" s="189"/>
      <c r="H3" s="189"/>
      <c r="I3" s="189"/>
      <c r="J3" s="189"/>
      <c r="K3" s="189"/>
      <c r="L3" s="189"/>
      <c r="M3" s="189"/>
      <c r="N3" s="189"/>
    </row>
    <row r="4" spans="1:14" s="139" customFormat="1" ht="15">
      <c r="A4" s="157" t="s">
        <v>285</v>
      </c>
      <c r="B4" s="157" t="s">
        <v>239</v>
      </c>
      <c r="C4" s="157" t="s">
        <v>286</v>
      </c>
      <c r="D4" s="157" t="s">
        <v>43</v>
      </c>
      <c r="E4" s="157" t="s">
        <v>240</v>
      </c>
    </row>
    <row r="5" spans="1:14" ht="54">
      <c r="A5" s="164" t="s">
        <v>87</v>
      </c>
      <c r="B5" s="169" t="s">
        <v>651</v>
      </c>
      <c r="C5" s="164" t="s">
        <v>652</v>
      </c>
      <c r="D5" s="164" t="s">
        <v>85</v>
      </c>
      <c r="E5" s="164" t="s">
        <v>86</v>
      </c>
    </row>
    <row r="6" spans="1:14" ht="40.5">
      <c r="A6" s="164" t="s">
        <v>328</v>
      </c>
      <c r="B6" s="169" t="s">
        <v>434</v>
      </c>
      <c r="C6" s="143" t="s">
        <v>435</v>
      </c>
      <c r="D6" s="164" t="s">
        <v>417</v>
      </c>
      <c r="E6" s="143" t="s">
        <v>418</v>
      </c>
      <c r="F6" s="144"/>
    </row>
    <row r="7" spans="1:14" ht="40.5">
      <c r="A7" s="164" t="s">
        <v>90</v>
      </c>
      <c r="B7" s="169" t="s">
        <v>653</v>
      </c>
      <c r="C7" s="164" t="s">
        <v>91</v>
      </c>
      <c r="D7" s="164" t="s">
        <v>88</v>
      </c>
      <c r="E7" s="164" t="s">
        <v>89</v>
      </c>
      <c r="F7" s="100"/>
      <c r="G7" s="100"/>
      <c r="H7" s="100"/>
      <c r="I7" s="100"/>
      <c r="J7" s="100"/>
    </row>
    <row r="8" spans="1:14" s="134" customFormat="1" ht="27">
      <c r="A8" s="190" t="s">
        <v>94</v>
      </c>
      <c r="B8" s="149" t="s">
        <v>224</v>
      </c>
      <c r="C8" s="190" t="s">
        <v>95</v>
      </c>
      <c r="D8" s="190" t="s">
        <v>96</v>
      </c>
      <c r="E8" s="190" t="s">
        <v>97</v>
      </c>
      <c r="F8" s="100"/>
      <c r="G8" s="100"/>
      <c r="H8" s="100"/>
      <c r="I8" s="100"/>
      <c r="J8" s="100"/>
    </row>
    <row r="9" spans="1:14" s="134" customFormat="1" ht="27">
      <c r="A9" s="190" t="s">
        <v>66</v>
      </c>
      <c r="B9" s="149" t="s">
        <v>290</v>
      </c>
      <c r="C9" s="190" t="s">
        <v>67</v>
      </c>
      <c r="D9" s="190" t="s">
        <v>64</v>
      </c>
      <c r="E9" s="190" t="s">
        <v>65</v>
      </c>
      <c r="F9" s="100"/>
      <c r="G9" s="100"/>
      <c r="H9" s="100"/>
      <c r="I9" s="100"/>
      <c r="J9" s="100"/>
    </row>
    <row r="10" spans="1:14" ht="40.5">
      <c r="A10" s="164" t="s">
        <v>61</v>
      </c>
      <c r="B10" s="169" t="s">
        <v>654</v>
      </c>
      <c r="C10" s="164" t="s">
        <v>62</v>
      </c>
      <c r="D10" s="164" t="s">
        <v>68</v>
      </c>
      <c r="E10" s="164" t="s">
        <v>617</v>
      </c>
      <c r="F10" s="100"/>
      <c r="G10" s="100"/>
      <c r="H10" s="100"/>
      <c r="I10" s="100"/>
      <c r="J10" s="100"/>
    </row>
    <row r="11" spans="1:14" s="134" customFormat="1" ht="81">
      <c r="A11" s="140" t="s">
        <v>63</v>
      </c>
      <c r="B11" s="141" t="s">
        <v>234</v>
      </c>
      <c r="C11" s="141" t="s">
        <v>616</v>
      </c>
      <c r="D11" s="190" t="s">
        <v>59</v>
      </c>
      <c r="E11" s="164" t="s">
        <v>60</v>
      </c>
      <c r="F11" s="100"/>
      <c r="G11" s="100"/>
      <c r="H11" s="100"/>
      <c r="I11" s="100"/>
      <c r="J11" s="100"/>
    </row>
    <row r="12" spans="1:14" ht="54">
      <c r="A12" s="164" t="s">
        <v>430</v>
      </c>
      <c r="B12" s="169" t="s">
        <v>431</v>
      </c>
      <c r="C12" s="143" t="s">
        <v>432</v>
      </c>
      <c r="D12" s="164" t="s">
        <v>175</v>
      </c>
      <c r="E12" s="143" t="s">
        <v>429</v>
      </c>
      <c r="F12" s="144"/>
    </row>
    <row r="13" spans="1:14" ht="67.5">
      <c r="A13" s="164" t="s">
        <v>58</v>
      </c>
      <c r="B13" s="169" t="s">
        <v>315</v>
      </c>
      <c r="C13" s="164" t="s">
        <v>655</v>
      </c>
      <c r="D13" s="164" t="s">
        <v>56</v>
      </c>
      <c r="E13" s="164" t="s">
        <v>57</v>
      </c>
    </row>
    <row r="14" spans="1:14" ht="54">
      <c r="A14" s="164" t="s">
        <v>316</v>
      </c>
      <c r="B14" s="169" t="s">
        <v>317</v>
      </c>
      <c r="C14" s="164" t="s">
        <v>318</v>
      </c>
      <c r="D14" s="164" t="s">
        <v>56</v>
      </c>
      <c r="E14" s="164" t="s">
        <v>57</v>
      </c>
    </row>
    <row r="15" spans="1:14" ht="40.5">
      <c r="A15" s="164" t="s">
        <v>51</v>
      </c>
      <c r="B15" s="169" t="s">
        <v>319</v>
      </c>
      <c r="C15" s="164" t="s">
        <v>52</v>
      </c>
      <c r="D15" s="164" t="s">
        <v>49</v>
      </c>
      <c r="E15" s="164" t="s">
        <v>50</v>
      </c>
    </row>
    <row r="16" spans="1:14" s="134" customFormat="1" ht="40.5">
      <c r="A16" s="190" t="s">
        <v>47</v>
      </c>
      <c r="B16" s="149" t="s">
        <v>222</v>
      </c>
      <c r="C16" s="190" t="s">
        <v>48</v>
      </c>
      <c r="D16" s="190" t="s">
        <v>69</v>
      </c>
      <c r="E16" s="190" t="s">
        <v>70</v>
      </c>
      <c r="F16" s="100"/>
      <c r="G16" s="100"/>
      <c r="H16" s="100"/>
      <c r="I16" s="100"/>
      <c r="J16" s="100"/>
    </row>
    <row r="17" spans="1:5" ht="40.5">
      <c r="A17" s="164" t="s">
        <v>73</v>
      </c>
      <c r="B17" s="169" t="s">
        <v>232</v>
      </c>
      <c r="C17" s="164" t="s">
        <v>618</v>
      </c>
      <c r="D17" s="164" t="s">
        <v>71</v>
      </c>
      <c r="E17" s="164" t="s">
        <v>72</v>
      </c>
    </row>
    <row r="18" spans="1:5">
      <c r="A18" s="164" t="s">
        <v>100</v>
      </c>
      <c r="B18" s="169" t="s">
        <v>320</v>
      </c>
      <c r="C18" s="164" t="s">
        <v>101</v>
      </c>
      <c r="D18" s="164" t="s">
        <v>98</v>
      </c>
      <c r="E18" s="164" t="s">
        <v>99</v>
      </c>
    </row>
    <row r="19" spans="1:5" ht="54">
      <c r="A19" s="164" t="s">
        <v>55</v>
      </c>
      <c r="B19" s="169" t="s">
        <v>236</v>
      </c>
      <c r="C19" s="164" t="s">
        <v>612</v>
      </c>
      <c r="D19" s="164" t="s">
        <v>104</v>
      </c>
      <c r="E19" s="164" t="s">
        <v>105</v>
      </c>
    </row>
    <row r="20" spans="1:5" ht="121.5">
      <c r="A20" s="164" t="s">
        <v>305</v>
      </c>
      <c r="B20" s="169" t="s">
        <v>306</v>
      </c>
      <c r="C20" s="164" t="s">
        <v>656</v>
      </c>
      <c r="D20" s="164" t="s">
        <v>69</v>
      </c>
      <c r="E20" s="164" t="s">
        <v>70</v>
      </c>
    </row>
    <row r="21" spans="1:5" ht="67.5">
      <c r="A21" s="164" t="s">
        <v>79</v>
      </c>
      <c r="B21" s="169" t="s">
        <v>230</v>
      </c>
      <c r="C21" s="164" t="s">
        <v>657</v>
      </c>
      <c r="D21" s="164" t="s">
        <v>77</v>
      </c>
      <c r="E21" s="164" t="s">
        <v>78</v>
      </c>
    </row>
    <row r="22" spans="1:5" ht="40.5">
      <c r="A22" s="164" t="s">
        <v>307</v>
      </c>
      <c r="B22" s="169" t="s">
        <v>314</v>
      </c>
      <c r="C22" s="164" t="s">
        <v>658</v>
      </c>
      <c r="D22" s="164" t="s">
        <v>80</v>
      </c>
      <c r="E22" s="164" t="s">
        <v>81</v>
      </c>
    </row>
    <row r="23" spans="1:5" ht="40.5">
      <c r="A23" s="164" t="s">
        <v>82</v>
      </c>
      <c r="B23" s="169" t="s">
        <v>229</v>
      </c>
      <c r="C23" s="164" t="s">
        <v>621</v>
      </c>
      <c r="D23" s="164" t="s">
        <v>80</v>
      </c>
      <c r="E23" s="164" t="s">
        <v>81</v>
      </c>
    </row>
    <row r="24" spans="1:5" ht="40.5">
      <c r="A24" s="164" t="s">
        <v>76</v>
      </c>
      <c r="B24" s="169" t="s">
        <v>321</v>
      </c>
      <c r="C24" s="164" t="s">
        <v>619</v>
      </c>
      <c r="D24" s="164" t="s">
        <v>74</v>
      </c>
      <c r="E24" s="164" t="s">
        <v>75</v>
      </c>
    </row>
    <row r="25" spans="1:5" ht="15">
      <c r="A25" s="183"/>
      <c r="B25" s="183"/>
      <c r="C25" s="191"/>
      <c r="D25" s="192"/>
      <c r="E25" s="183"/>
    </row>
    <row r="26" spans="1:5" ht="15">
      <c r="A26" s="183"/>
      <c r="B26" s="183"/>
      <c r="C26" s="191"/>
      <c r="D26" s="192"/>
      <c r="E26" s="183"/>
    </row>
    <row r="27" spans="1:5" ht="15">
      <c r="A27" s="183"/>
      <c r="B27" s="183"/>
      <c r="C27" s="191"/>
      <c r="D27" s="192"/>
      <c r="E27" s="183"/>
    </row>
    <row r="28" spans="1:5" ht="15">
      <c r="A28" s="183"/>
      <c r="B28" s="183"/>
      <c r="C28" s="191"/>
      <c r="D28" s="192"/>
      <c r="E28" s="183"/>
    </row>
    <row r="29" spans="1:5" ht="15">
      <c r="A29" s="183"/>
      <c r="B29" s="183"/>
    </row>
    <row r="30" spans="1:5" ht="15">
      <c r="A30" s="183"/>
      <c r="B30" s="183"/>
    </row>
    <row r="31" spans="1:5" ht="15">
      <c r="A31" s="183"/>
      <c r="B31" s="183"/>
    </row>
    <row r="32" spans="1:5" ht="15">
      <c r="A32" s="183"/>
      <c r="B32" s="183"/>
    </row>
    <row r="33" spans="1:2" ht="15">
      <c r="A33" s="183"/>
      <c r="B33" s="183"/>
    </row>
    <row r="34" spans="1:2" ht="15">
      <c r="A34" s="183"/>
      <c r="B34" s="183"/>
    </row>
    <row r="35" spans="1:2" ht="15">
      <c r="A35" s="183"/>
      <c r="B35" s="183"/>
    </row>
  </sheetData>
  <mergeCells count="3">
    <mergeCell ref="A1:E1"/>
    <mergeCell ref="A2:E2"/>
    <mergeCell ref="A3:E3"/>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287EF-602A-4731-B2C9-9C1212BC0C23}">
  <sheetPr codeName="Sheet8">
    <tabColor rgb="FFFF0000"/>
  </sheetPr>
  <dimension ref="A1:O26"/>
  <sheetViews>
    <sheetView topLeftCell="A16" zoomScaleNormal="100" workbookViewId="0">
      <selection activeCell="F9" sqref="F9"/>
    </sheetView>
  </sheetViews>
  <sheetFormatPr defaultColWidth="9.46484375" defaultRowHeight="13.5"/>
  <cols>
    <col min="1" max="1" width="12" style="137" bestFit="1" customWidth="1"/>
    <col min="2" max="2" width="26.59765625" style="137" customWidth="1"/>
    <col min="3" max="3" width="33.9296875" style="202" customWidth="1"/>
    <col min="4" max="4" width="12" style="137" bestFit="1" customWidth="1"/>
    <col min="5" max="5" width="17.33203125" style="137" customWidth="1"/>
    <col min="6" max="6" width="70.59765625" style="202" customWidth="1"/>
    <col min="7" max="7" width="32.59765625" style="137" customWidth="1"/>
    <col min="8" max="8" width="52.9296875" style="137" customWidth="1"/>
    <col min="9" max="14" width="9.46484375" style="137"/>
    <col min="15" max="15" width="25.53125" style="137" customWidth="1"/>
    <col min="16" max="16384" width="9.46484375" style="137"/>
  </cols>
  <sheetData>
    <row r="1" spans="1:15" ht="22.5">
      <c r="A1" s="307" t="s">
        <v>42</v>
      </c>
      <c r="B1" s="307"/>
      <c r="C1" s="307"/>
      <c r="D1" s="307"/>
      <c r="E1" s="307"/>
      <c r="F1" s="307"/>
      <c r="G1" s="193"/>
      <c r="H1" s="193"/>
      <c r="I1" s="193"/>
      <c r="J1" s="193"/>
      <c r="K1" s="193"/>
      <c r="L1" s="193"/>
      <c r="M1" s="193"/>
      <c r="N1" s="193"/>
      <c r="O1" s="193"/>
    </row>
    <row r="2" spans="1:15" ht="52.5" customHeight="1">
      <c r="A2" s="324" t="s">
        <v>284</v>
      </c>
      <c r="B2" s="325"/>
      <c r="C2" s="325"/>
      <c r="D2" s="325"/>
      <c r="E2" s="325"/>
      <c r="F2" s="326"/>
      <c r="G2" s="100"/>
      <c r="H2" s="100"/>
    </row>
    <row r="3" spans="1:15" ht="78" customHeight="1">
      <c r="A3" s="327" t="s">
        <v>659</v>
      </c>
      <c r="B3" s="328"/>
      <c r="C3" s="328"/>
      <c r="D3" s="328"/>
      <c r="E3" s="328"/>
      <c r="F3" s="329"/>
      <c r="G3" s="100"/>
      <c r="H3" s="100"/>
      <c r="I3" s="194"/>
      <c r="J3" s="194"/>
      <c r="K3" s="194"/>
      <c r="L3" s="194"/>
      <c r="M3" s="194"/>
      <c r="N3" s="194"/>
      <c r="O3" s="194"/>
    </row>
    <row r="4" spans="1:15" s="147" customFormat="1" ht="15">
      <c r="A4" s="195" t="s">
        <v>285</v>
      </c>
      <c r="B4" s="196" t="s">
        <v>239</v>
      </c>
      <c r="C4" s="197" t="s">
        <v>286</v>
      </c>
      <c r="D4" s="198" t="s">
        <v>287</v>
      </c>
      <c r="E4" s="199" t="s">
        <v>243</v>
      </c>
      <c r="F4" s="199" t="s">
        <v>288</v>
      </c>
      <c r="G4" s="100"/>
      <c r="H4" s="100"/>
      <c r="I4" s="200"/>
      <c r="J4" s="200"/>
      <c r="K4" s="200"/>
      <c r="L4" s="200"/>
      <c r="M4" s="200"/>
      <c r="N4" s="200"/>
      <c r="O4" s="200"/>
    </row>
    <row r="5" spans="1:15" ht="81">
      <c r="A5" s="201" t="s">
        <v>87</v>
      </c>
      <c r="B5" s="169" t="s">
        <v>651</v>
      </c>
      <c r="C5" s="169" t="s">
        <v>652</v>
      </c>
      <c r="D5" s="164" t="s">
        <v>117</v>
      </c>
      <c r="E5" s="164" t="s">
        <v>252</v>
      </c>
      <c r="F5" s="165" t="s">
        <v>188</v>
      </c>
      <c r="G5" s="100"/>
      <c r="H5" s="100"/>
      <c r="I5" s="194"/>
      <c r="J5" s="194"/>
      <c r="K5" s="194"/>
      <c r="L5" s="194"/>
      <c r="M5" s="194"/>
      <c r="N5" s="194"/>
      <c r="O5" s="194"/>
    </row>
    <row r="6" spans="1:15" ht="40.5">
      <c r="A6" s="201" t="s">
        <v>90</v>
      </c>
      <c r="B6" s="169" t="s">
        <v>465</v>
      </c>
      <c r="C6" s="169" t="s">
        <v>91</v>
      </c>
      <c r="D6" s="164" t="s">
        <v>121</v>
      </c>
      <c r="E6" s="164" t="s">
        <v>254</v>
      </c>
      <c r="F6" s="165" t="s">
        <v>289</v>
      </c>
      <c r="G6" s="100"/>
      <c r="H6" s="100"/>
      <c r="I6" s="194"/>
      <c r="J6" s="194"/>
      <c r="K6" s="194"/>
      <c r="L6" s="194"/>
      <c r="M6" s="194"/>
      <c r="N6" s="194"/>
      <c r="O6" s="194"/>
    </row>
    <row r="7" spans="1:15" ht="40.5">
      <c r="A7" s="201" t="s">
        <v>66</v>
      </c>
      <c r="B7" s="169" t="s">
        <v>290</v>
      </c>
      <c r="C7" s="169" t="s">
        <v>67</v>
      </c>
      <c r="D7" s="164" t="s">
        <v>109</v>
      </c>
      <c r="E7" s="164" t="s">
        <v>458</v>
      </c>
      <c r="F7" s="165" t="s">
        <v>660</v>
      </c>
      <c r="G7" s="100"/>
      <c r="H7" s="100"/>
      <c r="I7" s="194"/>
      <c r="J7" s="194"/>
      <c r="K7" s="194"/>
      <c r="L7" s="194"/>
      <c r="M7" s="194"/>
      <c r="N7" s="194"/>
      <c r="O7" s="194"/>
    </row>
    <row r="8" spans="1:15" ht="121.5">
      <c r="A8" s="201" t="s">
        <v>61</v>
      </c>
      <c r="B8" s="169" t="s">
        <v>661</v>
      </c>
      <c r="C8" s="169" t="s">
        <v>62</v>
      </c>
      <c r="D8" s="164" t="s">
        <v>111</v>
      </c>
      <c r="E8" s="164" t="s">
        <v>291</v>
      </c>
      <c r="F8" s="165" t="s">
        <v>292</v>
      </c>
      <c r="G8" s="100"/>
      <c r="H8" s="100"/>
      <c r="I8" s="194"/>
      <c r="J8" s="194"/>
      <c r="K8" s="194"/>
      <c r="L8" s="194"/>
      <c r="M8" s="194"/>
      <c r="N8" s="194"/>
      <c r="O8" s="194"/>
    </row>
    <row r="9" spans="1:15" ht="108">
      <c r="A9" s="201" t="s">
        <v>459</v>
      </c>
      <c r="B9" s="169" t="s">
        <v>460</v>
      </c>
      <c r="C9" s="169" t="s">
        <v>662</v>
      </c>
      <c r="D9" s="164" t="s">
        <v>109</v>
      </c>
      <c r="E9" s="164" t="s">
        <v>458</v>
      </c>
      <c r="F9" s="165" t="s">
        <v>663</v>
      </c>
      <c r="G9" s="100"/>
      <c r="H9" s="100"/>
      <c r="I9" s="194"/>
      <c r="J9" s="194"/>
      <c r="K9" s="194"/>
      <c r="L9" s="194"/>
      <c r="M9" s="194"/>
      <c r="N9" s="194"/>
      <c r="O9" s="194"/>
    </row>
    <row r="10" spans="1:15" ht="67.5">
      <c r="A10" s="201" t="s">
        <v>293</v>
      </c>
      <c r="B10" s="169" t="s">
        <v>294</v>
      </c>
      <c r="C10" s="169" t="s">
        <v>295</v>
      </c>
      <c r="D10" s="164" t="s">
        <v>296</v>
      </c>
      <c r="E10" s="164" t="s">
        <v>297</v>
      </c>
      <c r="F10" s="165" t="s">
        <v>298</v>
      </c>
      <c r="G10" s="100"/>
      <c r="H10" s="100"/>
      <c r="I10" s="194"/>
      <c r="J10" s="194"/>
      <c r="K10" s="194"/>
      <c r="L10" s="194"/>
      <c r="M10" s="194"/>
      <c r="N10" s="194"/>
      <c r="O10" s="194"/>
    </row>
    <row r="11" spans="1:15" ht="67.5">
      <c r="A11" s="201" t="s">
        <v>430</v>
      </c>
      <c r="B11" s="169" t="s">
        <v>431</v>
      </c>
      <c r="C11" s="169" t="s">
        <v>664</v>
      </c>
      <c r="D11" s="164" t="s">
        <v>296</v>
      </c>
      <c r="E11" s="164" t="s">
        <v>297</v>
      </c>
      <c r="F11" s="165" t="s">
        <v>298</v>
      </c>
      <c r="G11" s="100"/>
      <c r="H11" s="100"/>
      <c r="I11" s="194"/>
      <c r="J11" s="194"/>
      <c r="K11" s="194"/>
      <c r="L11" s="194"/>
      <c r="M11" s="194"/>
      <c r="N11" s="194"/>
      <c r="O11" s="194"/>
    </row>
    <row r="12" spans="1:15" ht="81">
      <c r="A12" s="201" t="s">
        <v>47</v>
      </c>
      <c r="B12" s="169" t="s">
        <v>222</v>
      </c>
      <c r="C12" s="169" t="s">
        <v>48</v>
      </c>
      <c r="D12" s="164" t="s">
        <v>113</v>
      </c>
      <c r="E12" s="164" t="s">
        <v>299</v>
      </c>
      <c r="F12" s="165" t="s">
        <v>114</v>
      </c>
      <c r="G12" s="100"/>
      <c r="H12" s="100"/>
      <c r="I12" s="194"/>
      <c r="J12" s="194"/>
      <c r="K12" s="194"/>
      <c r="L12" s="194"/>
      <c r="M12" s="194"/>
      <c r="N12" s="194"/>
      <c r="O12" s="194"/>
    </row>
    <row r="13" spans="1:15" ht="54">
      <c r="A13" s="330" t="s">
        <v>73</v>
      </c>
      <c r="B13" s="322" t="s">
        <v>300</v>
      </c>
      <c r="C13" s="322" t="s">
        <v>618</v>
      </c>
      <c r="D13" s="164" t="s">
        <v>115</v>
      </c>
      <c r="E13" s="164" t="s">
        <v>250</v>
      </c>
      <c r="F13" s="165" t="s">
        <v>116</v>
      </c>
      <c r="G13" s="100"/>
      <c r="H13" s="100"/>
      <c r="I13" s="194"/>
      <c r="J13" s="194"/>
      <c r="K13" s="194"/>
      <c r="L13" s="194"/>
      <c r="M13" s="194"/>
      <c r="N13" s="194"/>
      <c r="O13" s="194"/>
    </row>
    <row r="14" spans="1:15" ht="159" customHeight="1">
      <c r="A14" s="331"/>
      <c r="B14" s="333"/>
      <c r="C14" s="333"/>
      <c r="D14" s="164" t="s">
        <v>339</v>
      </c>
      <c r="E14" s="164" t="s">
        <v>340</v>
      </c>
      <c r="F14" s="165" t="s">
        <v>341</v>
      </c>
      <c r="G14" s="100"/>
      <c r="H14" s="100"/>
      <c r="I14" s="194"/>
      <c r="J14" s="194"/>
      <c r="K14" s="194"/>
      <c r="L14" s="194"/>
      <c r="M14" s="194"/>
      <c r="N14" s="194"/>
      <c r="O14" s="194"/>
    </row>
    <row r="15" spans="1:15" ht="121.5">
      <c r="A15" s="332"/>
      <c r="B15" s="323"/>
      <c r="C15" s="323"/>
      <c r="D15" s="164" t="s">
        <v>111</v>
      </c>
      <c r="E15" s="164" t="s">
        <v>291</v>
      </c>
      <c r="F15" s="165" t="s">
        <v>292</v>
      </c>
      <c r="G15" s="100"/>
      <c r="H15" s="100"/>
      <c r="I15" s="194"/>
      <c r="J15" s="194"/>
      <c r="K15" s="194"/>
      <c r="L15" s="194"/>
      <c r="M15" s="194"/>
      <c r="N15" s="194"/>
      <c r="O15" s="194"/>
    </row>
    <row r="16" spans="1:15" ht="45.75" customHeight="1">
      <c r="A16" s="320" t="s">
        <v>55</v>
      </c>
      <c r="B16" s="322" t="s">
        <v>221</v>
      </c>
      <c r="C16" s="322" t="s">
        <v>612</v>
      </c>
      <c r="D16" s="164" t="s">
        <v>135</v>
      </c>
      <c r="E16" s="164" t="s">
        <v>301</v>
      </c>
      <c r="F16" s="165" t="s">
        <v>136</v>
      </c>
      <c r="G16" s="100"/>
      <c r="H16" s="100"/>
      <c r="I16" s="194"/>
      <c r="J16" s="194"/>
      <c r="K16" s="194"/>
      <c r="L16" s="194"/>
      <c r="M16" s="194"/>
      <c r="N16" s="194"/>
      <c r="O16" s="194"/>
    </row>
    <row r="17" spans="1:8" ht="54" customHeight="1">
      <c r="A17" s="321"/>
      <c r="B17" s="323"/>
      <c r="C17" s="323"/>
      <c r="D17" s="164" t="s">
        <v>302</v>
      </c>
      <c r="E17" s="164" t="s">
        <v>303</v>
      </c>
      <c r="F17" s="165" t="s">
        <v>304</v>
      </c>
      <c r="G17" s="100"/>
      <c r="H17" s="100"/>
    </row>
    <row r="18" spans="1:8" ht="81">
      <c r="A18" s="201" t="s">
        <v>305</v>
      </c>
      <c r="B18" s="169" t="s">
        <v>306</v>
      </c>
      <c r="C18" s="169" t="s">
        <v>461</v>
      </c>
      <c r="D18" s="164" t="s">
        <v>113</v>
      </c>
      <c r="E18" s="164" t="s">
        <v>249</v>
      </c>
      <c r="F18" s="165" t="s">
        <v>114</v>
      </c>
      <c r="G18" s="100"/>
      <c r="H18" s="100"/>
    </row>
    <row r="19" spans="1:8" ht="40.5">
      <c r="A19" s="201" t="s">
        <v>307</v>
      </c>
      <c r="B19" s="169" t="s">
        <v>308</v>
      </c>
      <c r="C19" s="169" t="s">
        <v>52</v>
      </c>
      <c r="D19" s="164" t="s">
        <v>309</v>
      </c>
      <c r="E19" s="164" t="s">
        <v>310</v>
      </c>
      <c r="F19" s="165" t="s">
        <v>311</v>
      </c>
      <c r="G19" s="100"/>
      <c r="H19" s="100"/>
    </row>
    <row r="20" spans="1:8" ht="15">
      <c r="A20" s="183"/>
      <c r="B20" s="183"/>
      <c r="C20" s="183"/>
      <c r="D20" s="183"/>
      <c r="E20" s="100"/>
      <c r="F20" s="100"/>
    </row>
    <row r="21" spans="1:8" ht="15">
      <c r="A21" s="183"/>
      <c r="B21" s="183"/>
      <c r="C21" s="183"/>
      <c r="D21" s="183"/>
      <c r="E21" s="100"/>
      <c r="F21" s="100"/>
    </row>
    <row r="22" spans="1:8" ht="15">
      <c r="A22" s="183"/>
      <c r="B22" s="183"/>
      <c r="C22" s="183"/>
      <c r="D22" s="183"/>
      <c r="E22" s="183"/>
      <c r="F22" s="183"/>
    </row>
    <row r="23" spans="1:8" ht="15">
      <c r="A23" s="183"/>
      <c r="B23" s="183"/>
      <c r="C23" s="183"/>
      <c r="D23" s="183"/>
      <c r="E23" s="183"/>
      <c r="F23" s="183"/>
    </row>
    <row r="24" spans="1:8" ht="15">
      <c r="A24" s="183"/>
      <c r="B24" s="183"/>
      <c r="C24" s="183"/>
      <c r="D24" s="183"/>
      <c r="E24" s="183"/>
      <c r="F24" s="183"/>
    </row>
    <row r="25" spans="1:8" ht="15">
      <c r="A25" s="183"/>
      <c r="B25" s="183"/>
      <c r="C25" s="183"/>
      <c r="D25" s="183"/>
      <c r="E25" s="183"/>
      <c r="F25" s="183"/>
    </row>
    <row r="26" spans="1:8" ht="15">
      <c r="A26" s="183"/>
      <c r="B26" s="183"/>
      <c r="C26" s="183"/>
      <c r="D26" s="183"/>
      <c r="E26" s="183"/>
      <c r="F26" s="183"/>
    </row>
  </sheetData>
  <mergeCells count="9">
    <mergeCell ref="A16:A17"/>
    <mergeCell ref="B16:B17"/>
    <mergeCell ref="C16:C17"/>
    <mergeCell ref="A1:F1"/>
    <mergeCell ref="A2:F2"/>
    <mergeCell ref="A3:F3"/>
    <mergeCell ref="A13:A15"/>
    <mergeCell ref="B13:B15"/>
    <mergeCell ref="C13:C15"/>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56251-1B71-4825-A098-5D6AE018F812}">
  <sheetPr codeName="Sheet9">
    <tabColor rgb="FFFF0000"/>
  </sheetPr>
  <dimension ref="A1:U15"/>
  <sheetViews>
    <sheetView topLeftCell="A6" workbookViewId="0">
      <selection activeCell="F6" sqref="F6"/>
    </sheetView>
  </sheetViews>
  <sheetFormatPr defaultColWidth="9.46484375" defaultRowHeight="15"/>
  <cols>
    <col min="1" max="1" width="12" style="137" bestFit="1" customWidth="1"/>
    <col min="2" max="2" width="27.06640625" style="137" customWidth="1"/>
    <col min="3" max="3" width="39.46484375" style="137" customWidth="1"/>
    <col min="4" max="4" width="12" style="137" bestFit="1" customWidth="1"/>
    <col min="5" max="5" width="19.9296875" style="194" customWidth="1"/>
    <col min="6" max="6" width="45.33203125" style="137" customWidth="1"/>
    <col min="7" max="7" width="26.46484375" style="137" customWidth="1"/>
    <col min="8" max="8" width="14.59765625" style="137" customWidth="1"/>
    <col min="9" max="16384" width="9.46484375" style="137"/>
  </cols>
  <sheetData>
    <row r="1" spans="1:21" ht="22.5">
      <c r="A1" s="307" t="s">
        <v>42</v>
      </c>
      <c r="B1" s="307"/>
      <c r="C1" s="307"/>
      <c r="D1" s="307"/>
      <c r="E1" s="307"/>
      <c r="F1" s="307"/>
      <c r="G1" s="100"/>
      <c r="H1" s="100"/>
      <c r="I1" s="100"/>
      <c r="J1" s="100"/>
      <c r="K1" s="100"/>
      <c r="L1" s="100"/>
      <c r="M1" s="100"/>
      <c r="N1" s="100"/>
      <c r="O1" s="100"/>
    </row>
    <row r="2" spans="1:21" ht="58.5" customHeight="1">
      <c r="A2" s="336" t="s">
        <v>284</v>
      </c>
      <c r="B2" s="337"/>
      <c r="C2" s="337"/>
      <c r="D2" s="337"/>
      <c r="E2" s="337"/>
      <c r="F2" s="338"/>
      <c r="G2" s="152"/>
    </row>
    <row r="3" spans="1:21" ht="63" customHeight="1">
      <c r="A3" s="339" t="s">
        <v>665</v>
      </c>
      <c r="B3" s="340"/>
      <c r="C3" s="340"/>
      <c r="D3" s="340"/>
      <c r="E3" s="340"/>
      <c r="F3" s="341"/>
      <c r="G3" s="189"/>
      <c r="H3" s="153"/>
      <c r="I3" s="153"/>
      <c r="J3" s="153"/>
      <c r="K3" s="153"/>
      <c r="L3" s="153"/>
      <c r="M3" s="153"/>
      <c r="N3" s="153"/>
      <c r="O3" s="153"/>
    </row>
    <row r="4" spans="1:21" s="147" customFormat="1">
      <c r="A4" s="203" t="s">
        <v>285</v>
      </c>
      <c r="B4" s="203" t="s">
        <v>239</v>
      </c>
      <c r="C4" s="203" t="s">
        <v>286</v>
      </c>
      <c r="D4" s="203" t="s">
        <v>322</v>
      </c>
      <c r="E4" s="203" t="s">
        <v>323</v>
      </c>
      <c r="F4" s="203" t="s">
        <v>324</v>
      </c>
    </row>
    <row r="5" spans="1:21" ht="81">
      <c r="A5" s="170" t="s">
        <v>328</v>
      </c>
      <c r="B5" s="169" t="s">
        <v>329</v>
      </c>
      <c r="C5" s="169" t="s">
        <v>330</v>
      </c>
      <c r="D5" s="169" t="s">
        <v>331</v>
      </c>
      <c r="E5" s="169" t="s">
        <v>332</v>
      </c>
      <c r="F5" s="169" t="s">
        <v>666</v>
      </c>
    </row>
    <row r="6" spans="1:21" ht="40.5">
      <c r="A6" s="170" t="s">
        <v>90</v>
      </c>
      <c r="B6" s="169" t="s">
        <v>653</v>
      </c>
      <c r="C6" s="169" t="s">
        <v>91</v>
      </c>
      <c r="D6" s="169" t="s">
        <v>155</v>
      </c>
      <c r="E6" s="169" t="s">
        <v>262</v>
      </c>
      <c r="F6" s="169" t="s">
        <v>156</v>
      </c>
      <c r="G6" s="144"/>
    </row>
    <row r="7" spans="1:21" ht="67.5">
      <c r="A7" s="170" t="s">
        <v>66</v>
      </c>
      <c r="B7" s="169" t="s">
        <v>290</v>
      </c>
      <c r="C7" s="169" t="s">
        <v>67</v>
      </c>
      <c r="D7" s="169" t="s">
        <v>325</v>
      </c>
      <c r="E7" s="169" t="s">
        <v>326</v>
      </c>
      <c r="F7" s="169" t="s">
        <v>327</v>
      </c>
    </row>
    <row r="8" spans="1:21" ht="54">
      <c r="A8" s="170" t="s">
        <v>61</v>
      </c>
      <c r="B8" s="169" t="s">
        <v>667</v>
      </c>
      <c r="C8" s="169" t="s">
        <v>62</v>
      </c>
      <c r="D8" s="169" t="s">
        <v>153</v>
      </c>
      <c r="E8" s="169" t="s">
        <v>263</v>
      </c>
      <c r="F8" s="169" t="s">
        <v>668</v>
      </c>
      <c r="G8" s="144"/>
    </row>
    <row r="9" spans="1:21" s="134" customFormat="1" ht="60.75" customHeight="1">
      <c r="A9" s="342" t="s">
        <v>63</v>
      </c>
      <c r="B9" s="344" t="s">
        <v>234</v>
      </c>
      <c r="C9" s="344" t="s">
        <v>669</v>
      </c>
      <c r="D9" s="148" t="s">
        <v>142</v>
      </c>
      <c r="E9" s="149" t="s">
        <v>268</v>
      </c>
      <c r="F9" s="149" t="s">
        <v>629</v>
      </c>
      <c r="G9" s="100"/>
      <c r="H9" s="100"/>
      <c r="I9" s="100"/>
      <c r="J9" s="100"/>
      <c r="K9" s="100"/>
      <c r="L9" s="100"/>
      <c r="M9" s="100"/>
      <c r="N9" s="100"/>
      <c r="O9" s="100"/>
      <c r="P9" s="100"/>
      <c r="Q9" s="100"/>
      <c r="R9" s="100"/>
      <c r="S9" s="100"/>
      <c r="T9" s="100"/>
      <c r="U9" s="100"/>
    </row>
    <row r="10" spans="1:21" s="134" customFormat="1" ht="40.5">
      <c r="A10" s="343"/>
      <c r="B10" s="345"/>
      <c r="C10" s="345"/>
      <c r="D10" s="149" t="s">
        <v>462</v>
      </c>
      <c r="E10" s="149" t="s">
        <v>463</v>
      </c>
      <c r="F10" s="149" t="s">
        <v>670</v>
      </c>
      <c r="G10" s="100"/>
      <c r="H10" s="100"/>
      <c r="I10" s="100"/>
      <c r="J10" s="100"/>
      <c r="K10" s="100"/>
      <c r="L10" s="100"/>
      <c r="M10" s="100"/>
      <c r="N10" s="100"/>
      <c r="O10" s="100"/>
      <c r="P10" s="100"/>
      <c r="Q10" s="100"/>
      <c r="R10" s="100"/>
      <c r="S10" s="100"/>
      <c r="T10" s="100"/>
      <c r="U10" s="100"/>
    </row>
    <row r="11" spans="1:21" ht="67.5">
      <c r="A11" s="170" t="s">
        <v>293</v>
      </c>
      <c r="B11" s="169" t="s">
        <v>464</v>
      </c>
      <c r="C11" s="169" t="s">
        <v>295</v>
      </c>
      <c r="D11" s="169" t="s">
        <v>140</v>
      </c>
      <c r="E11" s="169" t="s">
        <v>269</v>
      </c>
      <c r="F11" s="169" t="s">
        <v>141</v>
      </c>
      <c r="G11" s="144"/>
    </row>
    <row r="12" spans="1:21" ht="57" customHeight="1">
      <c r="A12" s="334" t="s">
        <v>47</v>
      </c>
      <c r="B12" s="322" t="s">
        <v>222</v>
      </c>
      <c r="C12" s="322" t="s">
        <v>48</v>
      </c>
      <c r="D12" s="169" t="s">
        <v>146</v>
      </c>
      <c r="E12" s="169" t="s">
        <v>260</v>
      </c>
      <c r="F12" s="169" t="s">
        <v>259</v>
      </c>
    </row>
    <row r="13" spans="1:21" ht="40.5">
      <c r="A13" s="335"/>
      <c r="B13" s="323"/>
      <c r="C13" s="323"/>
      <c r="D13" s="169" t="s">
        <v>138</v>
      </c>
      <c r="E13" s="169" t="s">
        <v>270</v>
      </c>
      <c r="F13" s="169" t="s">
        <v>671</v>
      </c>
      <c r="G13" s="144"/>
    </row>
    <row r="14" spans="1:21" ht="40.5">
      <c r="A14" s="170" t="s">
        <v>73</v>
      </c>
      <c r="B14" s="169" t="s">
        <v>232</v>
      </c>
      <c r="C14" s="169" t="s">
        <v>618</v>
      </c>
      <c r="D14" s="169" t="s">
        <v>146</v>
      </c>
      <c r="E14" s="169" t="s">
        <v>260</v>
      </c>
      <c r="F14" s="169" t="s">
        <v>259</v>
      </c>
    </row>
    <row r="15" spans="1:21" ht="66" customHeight="1">
      <c r="A15" s="170" t="s">
        <v>305</v>
      </c>
      <c r="B15" s="169" t="s">
        <v>306</v>
      </c>
      <c r="C15" s="169" t="s">
        <v>672</v>
      </c>
      <c r="D15" s="169" t="s">
        <v>146</v>
      </c>
      <c r="E15" s="169" t="s">
        <v>260</v>
      </c>
      <c r="F15" s="169" t="s">
        <v>259</v>
      </c>
    </row>
  </sheetData>
  <mergeCells count="9">
    <mergeCell ref="A12:A13"/>
    <mergeCell ref="B12:B13"/>
    <mergeCell ref="C12:C13"/>
    <mergeCell ref="A1:F1"/>
    <mergeCell ref="A2:F2"/>
    <mergeCell ref="A3:F3"/>
    <mergeCell ref="A9:A10"/>
    <mergeCell ref="B9:B10"/>
    <mergeCell ref="C9:C10"/>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0B614-D15D-4EF5-AF9F-DD1F244D7E6B}">
  <sheetPr codeName="Sheet11">
    <tabColor rgb="FFFF0000"/>
  </sheetPr>
  <dimension ref="A1:N30"/>
  <sheetViews>
    <sheetView workbookViewId="0">
      <selection activeCell="B6" sqref="B6"/>
    </sheetView>
  </sheetViews>
  <sheetFormatPr defaultColWidth="9.46484375" defaultRowHeight="13.5"/>
  <cols>
    <col min="1" max="1" width="12" style="137" bestFit="1" customWidth="1"/>
    <col min="2" max="2" width="21.33203125" style="137" customWidth="1"/>
    <col min="3" max="3" width="35.06640625" style="137" customWidth="1"/>
    <col min="4" max="4" width="12.59765625" style="137" bestFit="1" customWidth="1"/>
    <col min="5" max="5" width="52.53125" style="137" customWidth="1"/>
    <col min="6" max="6" width="32.59765625" style="137" customWidth="1"/>
    <col min="7" max="7" width="15.9296875" style="137" customWidth="1"/>
    <col min="8" max="13" width="9.46484375" style="137"/>
    <col min="14" max="14" width="29.33203125" style="137" customWidth="1"/>
    <col min="15" max="16384" width="9.46484375" style="137"/>
  </cols>
  <sheetData>
    <row r="1" spans="1:14" ht="22.5">
      <c r="A1" s="307" t="s">
        <v>42</v>
      </c>
      <c r="B1" s="307"/>
      <c r="C1" s="307"/>
      <c r="D1" s="307"/>
      <c r="E1" s="307"/>
      <c r="F1" s="177"/>
      <c r="G1" s="177"/>
      <c r="H1" s="177"/>
      <c r="I1" s="177"/>
      <c r="J1" s="177"/>
      <c r="K1" s="177"/>
      <c r="L1" s="177"/>
      <c r="M1" s="177"/>
      <c r="N1" s="177"/>
    </row>
    <row r="2" spans="1:14" s="189" customFormat="1" ht="55.5" customHeight="1">
      <c r="A2" s="346" t="s">
        <v>333</v>
      </c>
      <c r="B2" s="346"/>
      <c r="C2" s="346"/>
      <c r="D2" s="346"/>
      <c r="E2" s="346"/>
      <c r="F2" s="152"/>
    </row>
    <row r="3" spans="1:14" s="189" customFormat="1" ht="84.75" customHeight="1">
      <c r="A3" s="347" t="s">
        <v>673</v>
      </c>
      <c r="B3" s="347"/>
      <c r="C3" s="347"/>
      <c r="D3" s="347"/>
      <c r="E3" s="347"/>
    </row>
    <row r="4" spans="1:14" s="150" customFormat="1" ht="30">
      <c r="A4" s="203" t="s">
        <v>285</v>
      </c>
      <c r="B4" s="203" t="s">
        <v>239</v>
      </c>
      <c r="C4" s="203" t="s">
        <v>286</v>
      </c>
      <c r="D4" s="203" t="s">
        <v>334</v>
      </c>
      <c r="E4" s="203" t="s">
        <v>335</v>
      </c>
    </row>
    <row r="5" spans="1:14" ht="40.5">
      <c r="A5" s="170" t="s">
        <v>90</v>
      </c>
      <c r="B5" s="169" t="s">
        <v>653</v>
      </c>
      <c r="C5" s="169" t="s">
        <v>91</v>
      </c>
      <c r="D5" s="170" t="s">
        <v>171</v>
      </c>
      <c r="E5" s="169" t="s">
        <v>170</v>
      </c>
    </row>
    <row r="6" spans="1:14" ht="15">
      <c r="A6" s="204"/>
      <c r="B6" s="204"/>
      <c r="C6" s="204"/>
      <c r="D6" s="204"/>
      <c r="E6" s="204"/>
    </row>
    <row r="7" spans="1:14" ht="15">
      <c r="A7" s="183"/>
      <c r="B7" s="183"/>
      <c r="C7" s="183"/>
      <c r="D7" s="183"/>
      <c r="E7" s="183"/>
    </row>
    <row r="8" spans="1:14" ht="15">
      <c r="A8" s="183"/>
      <c r="B8" s="183"/>
      <c r="C8" s="183"/>
      <c r="D8" s="183"/>
      <c r="E8" s="183"/>
    </row>
    <row r="9" spans="1:14" ht="15">
      <c r="A9" s="183"/>
      <c r="B9" s="183"/>
      <c r="C9" s="183"/>
      <c r="D9" s="183"/>
      <c r="E9" s="183"/>
    </row>
    <row r="10" spans="1:14" ht="15">
      <c r="A10" s="183"/>
      <c r="B10" s="183"/>
      <c r="C10" s="183"/>
      <c r="D10" s="183"/>
      <c r="E10" s="183"/>
    </row>
    <row r="11" spans="1:14" ht="15">
      <c r="A11" s="183"/>
      <c r="B11" s="183"/>
      <c r="C11" s="183"/>
      <c r="D11" s="183"/>
      <c r="E11" s="183"/>
    </row>
    <row r="12" spans="1:14" ht="15">
      <c r="A12" s="183"/>
      <c r="B12" s="183"/>
      <c r="C12" s="183"/>
      <c r="D12" s="183"/>
      <c r="E12" s="183"/>
    </row>
    <row r="13" spans="1:14" ht="15">
      <c r="A13" s="183"/>
      <c r="B13" s="183"/>
      <c r="C13" s="183"/>
      <c r="D13" s="183"/>
      <c r="E13" s="183"/>
    </row>
    <row r="14" spans="1:14" ht="15">
      <c r="A14" s="183"/>
      <c r="B14" s="183"/>
      <c r="C14" s="183"/>
      <c r="D14" s="183"/>
      <c r="E14" s="183"/>
    </row>
    <row r="15" spans="1:14" ht="15">
      <c r="A15" s="183"/>
      <c r="B15" s="183"/>
      <c r="C15" s="183"/>
      <c r="D15" s="183"/>
      <c r="E15" s="183"/>
    </row>
    <row r="16" spans="1:14" ht="15">
      <c r="A16" s="183"/>
      <c r="B16" s="183"/>
      <c r="C16" s="183"/>
      <c r="D16" s="183"/>
      <c r="E16" s="183"/>
    </row>
    <row r="17" spans="1:5" ht="15">
      <c r="A17" s="183"/>
      <c r="B17" s="183"/>
      <c r="C17" s="183"/>
      <c r="D17" s="183"/>
      <c r="E17" s="183"/>
    </row>
    <row r="18" spans="1:5" ht="15">
      <c r="A18" s="183"/>
      <c r="B18" s="183"/>
      <c r="C18" s="183"/>
      <c r="D18" s="183"/>
      <c r="E18" s="183"/>
    </row>
    <row r="19" spans="1:5" ht="15">
      <c r="A19" s="183"/>
      <c r="B19" s="183"/>
      <c r="C19" s="183"/>
      <c r="D19" s="183"/>
      <c r="E19" s="183"/>
    </row>
    <row r="20" spans="1:5" ht="15">
      <c r="A20" s="183"/>
      <c r="B20" s="183"/>
      <c r="C20" s="191"/>
      <c r="D20" s="192"/>
      <c r="E20" s="183"/>
    </row>
    <row r="21" spans="1:5" ht="15">
      <c r="A21" s="183"/>
      <c r="B21" s="183"/>
      <c r="C21" s="191"/>
      <c r="D21" s="192"/>
      <c r="E21" s="183"/>
    </row>
    <row r="22" spans="1:5" ht="15">
      <c r="A22" s="183"/>
      <c r="B22" s="183"/>
      <c r="C22" s="191"/>
      <c r="D22" s="192"/>
      <c r="E22" s="183"/>
    </row>
    <row r="23" spans="1:5" ht="15">
      <c r="A23" s="183"/>
      <c r="B23" s="183"/>
      <c r="C23" s="191"/>
      <c r="D23" s="192"/>
      <c r="E23" s="183"/>
    </row>
    <row r="24" spans="1:5" ht="15">
      <c r="A24" s="183"/>
      <c r="B24" s="183"/>
    </row>
    <row r="25" spans="1:5" ht="15">
      <c r="A25" s="183"/>
      <c r="B25" s="183"/>
    </row>
    <row r="26" spans="1:5" ht="15">
      <c r="A26" s="183"/>
      <c r="B26" s="183"/>
    </row>
    <row r="27" spans="1:5" ht="15">
      <c r="A27" s="183"/>
      <c r="B27" s="183"/>
    </row>
    <row r="28" spans="1:5" ht="15">
      <c r="A28" s="183"/>
      <c r="B28" s="183"/>
    </row>
    <row r="29" spans="1:5" ht="15">
      <c r="A29" s="183"/>
      <c r="B29" s="183"/>
    </row>
    <row r="30" spans="1:5" ht="15">
      <c r="A30" s="183"/>
      <c r="B30" s="183"/>
    </row>
  </sheetData>
  <mergeCells count="3">
    <mergeCell ref="A1:E1"/>
    <mergeCell ref="A2:E2"/>
    <mergeCell ref="A3:E3"/>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317BA-006C-4619-86D6-998E58CACB7F}">
  <sheetPr codeName="Sheet12">
    <tabColor rgb="FFFF0000"/>
  </sheetPr>
  <dimension ref="A1:G38"/>
  <sheetViews>
    <sheetView topLeftCell="A10" workbookViewId="0">
      <selection activeCell="C17" sqref="C17"/>
    </sheetView>
  </sheetViews>
  <sheetFormatPr defaultColWidth="9.46484375" defaultRowHeight="13.5"/>
  <cols>
    <col min="1" max="1" width="12" style="202" bestFit="1" customWidth="1"/>
    <col min="2" max="2" width="24.59765625" style="202" customWidth="1"/>
    <col min="3" max="3" width="32" style="202" customWidth="1"/>
    <col min="4" max="4" width="12.59765625" style="202" bestFit="1" customWidth="1"/>
    <col min="5" max="5" width="19.33203125" style="202" customWidth="1"/>
    <col min="6" max="6" width="62" style="202" customWidth="1"/>
    <col min="7" max="7" width="25.59765625" style="202" customWidth="1"/>
    <col min="8" max="8" width="15.9296875" style="202" customWidth="1"/>
    <col min="9" max="14" width="9.46484375" style="202"/>
    <col min="15" max="15" width="29.33203125" style="202" customWidth="1"/>
    <col min="16" max="16384" width="9.46484375" style="202"/>
  </cols>
  <sheetData>
    <row r="1" spans="1:7" s="100" customFormat="1" ht="23.25" customHeight="1">
      <c r="A1" s="348" t="s">
        <v>42</v>
      </c>
      <c r="B1" s="348"/>
      <c r="C1" s="348"/>
      <c r="D1" s="348"/>
      <c r="E1" s="348"/>
      <c r="F1" s="348"/>
    </row>
    <row r="2" spans="1:7" s="153" customFormat="1" ht="51.75" customHeight="1">
      <c r="A2" s="349" t="s">
        <v>284</v>
      </c>
      <c r="B2" s="349"/>
      <c r="C2" s="349"/>
      <c r="D2" s="349"/>
      <c r="E2" s="349"/>
      <c r="F2" s="349"/>
      <c r="G2" s="152"/>
    </row>
    <row r="3" spans="1:7" s="153" customFormat="1" ht="66" customHeight="1">
      <c r="A3" s="350" t="s">
        <v>674</v>
      </c>
      <c r="B3" s="350"/>
      <c r="C3" s="350"/>
      <c r="D3" s="350"/>
      <c r="E3" s="350"/>
      <c r="F3" s="350"/>
      <c r="G3" s="189"/>
    </row>
    <row r="4" spans="1:7" s="147" customFormat="1" ht="30">
      <c r="A4" s="203" t="s">
        <v>285</v>
      </c>
      <c r="B4" s="203" t="s">
        <v>239</v>
      </c>
      <c r="C4" s="203" t="s">
        <v>286</v>
      </c>
      <c r="D4" s="203" t="s">
        <v>312</v>
      </c>
      <c r="E4" s="203" t="s">
        <v>274</v>
      </c>
      <c r="F4" s="203" t="s">
        <v>313</v>
      </c>
    </row>
    <row r="5" spans="1:7" ht="81">
      <c r="A5" s="169" t="s">
        <v>87</v>
      </c>
      <c r="B5" s="169" t="s">
        <v>651</v>
      </c>
      <c r="C5" s="169" t="s">
        <v>652</v>
      </c>
      <c r="D5" s="169" t="s">
        <v>187</v>
      </c>
      <c r="E5" s="169" t="s">
        <v>281</v>
      </c>
      <c r="F5" s="169" t="s">
        <v>188</v>
      </c>
    </row>
    <row r="6" spans="1:7" ht="54">
      <c r="A6" s="169" t="s">
        <v>90</v>
      </c>
      <c r="B6" s="169" t="s">
        <v>465</v>
      </c>
      <c r="C6" s="169" t="s">
        <v>91</v>
      </c>
      <c r="D6" s="169" t="s">
        <v>437</v>
      </c>
      <c r="E6" s="169" t="s">
        <v>438</v>
      </c>
      <c r="F6" s="169" t="s">
        <v>466</v>
      </c>
      <c r="G6" s="205"/>
    </row>
    <row r="7" spans="1:7" ht="81">
      <c r="A7" s="169" t="s">
        <v>66</v>
      </c>
      <c r="B7" s="169" t="s">
        <v>290</v>
      </c>
      <c r="C7" s="169" t="s">
        <v>67</v>
      </c>
      <c r="D7" s="169" t="s">
        <v>179</v>
      </c>
      <c r="E7" s="169" t="s">
        <v>278</v>
      </c>
      <c r="F7" s="169" t="s">
        <v>180</v>
      </c>
    </row>
    <row r="8" spans="1:7" ht="81">
      <c r="A8" s="169" t="s">
        <v>61</v>
      </c>
      <c r="B8" s="169" t="s">
        <v>654</v>
      </c>
      <c r="C8" s="169" t="s">
        <v>62</v>
      </c>
      <c r="D8" s="169" t="s">
        <v>179</v>
      </c>
      <c r="E8" s="169" t="s">
        <v>278</v>
      </c>
      <c r="F8" s="169" t="s">
        <v>180</v>
      </c>
    </row>
    <row r="9" spans="1:7" ht="67.5">
      <c r="A9" s="169" t="s">
        <v>293</v>
      </c>
      <c r="B9" s="169" t="s">
        <v>464</v>
      </c>
      <c r="C9" s="169" t="s">
        <v>467</v>
      </c>
      <c r="D9" s="169" t="s">
        <v>174</v>
      </c>
      <c r="E9" s="169" t="s">
        <v>276</v>
      </c>
      <c r="F9" s="169" t="s">
        <v>108</v>
      </c>
      <c r="G9" s="205"/>
    </row>
    <row r="10" spans="1:7" ht="67.5">
      <c r="A10" s="169" t="s">
        <v>430</v>
      </c>
      <c r="B10" s="169" t="s">
        <v>468</v>
      </c>
      <c r="C10" s="169" t="s">
        <v>675</v>
      </c>
      <c r="D10" s="169" t="s">
        <v>363</v>
      </c>
      <c r="E10" s="169" t="s">
        <v>364</v>
      </c>
      <c r="F10" s="169" t="s">
        <v>298</v>
      </c>
      <c r="G10" s="205"/>
    </row>
    <row r="11" spans="1:7" ht="71.25" customHeight="1">
      <c r="A11" s="322" t="s">
        <v>73</v>
      </c>
      <c r="B11" s="322" t="s">
        <v>232</v>
      </c>
      <c r="C11" s="322" t="s">
        <v>618</v>
      </c>
      <c r="D11" s="169" t="s">
        <v>181</v>
      </c>
      <c r="E11" s="169" t="s">
        <v>279</v>
      </c>
      <c r="F11" s="169" t="s">
        <v>182</v>
      </c>
    </row>
    <row r="12" spans="1:7" ht="54">
      <c r="A12" s="323"/>
      <c r="B12" s="323"/>
      <c r="C12" s="323"/>
      <c r="D12" s="169" t="s">
        <v>470</v>
      </c>
      <c r="E12" s="169" t="s">
        <v>471</v>
      </c>
      <c r="F12" s="169" t="s">
        <v>472</v>
      </c>
      <c r="G12" s="205"/>
    </row>
    <row r="13" spans="1:7" ht="58.5" customHeight="1">
      <c r="A13" s="322" t="s">
        <v>55</v>
      </c>
      <c r="B13" s="322" t="s">
        <v>236</v>
      </c>
      <c r="C13" s="322" t="s">
        <v>612</v>
      </c>
      <c r="D13" s="169" t="s">
        <v>473</v>
      </c>
      <c r="E13" s="169" t="s">
        <v>474</v>
      </c>
      <c r="F13" s="169" t="s">
        <v>475</v>
      </c>
      <c r="G13" s="205"/>
    </row>
    <row r="14" spans="1:7" ht="67.5">
      <c r="A14" s="323"/>
      <c r="B14" s="323"/>
      <c r="C14" s="323"/>
      <c r="D14" s="169" t="s">
        <v>368</v>
      </c>
      <c r="E14" s="169" t="s">
        <v>303</v>
      </c>
      <c r="F14" s="169" t="s">
        <v>369</v>
      </c>
      <c r="G14" s="205"/>
    </row>
    <row r="15" spans="1:7" ht="94.5">
      <c r="A15" s="169" t="s">
        <v>79</v>
      </c>
      <c r="B15" s="169" t="s">
        <v>230</v>
      </c>
      <c r="C15" s="169" t="s">
        <v>657</v>
      </c>
      <c r="D15" s="169" t="s">
        <v>183</v>
      </c>
      <c r="E15" s="169" t="s">
        <v>78</v>
      </c>
      <c r="F15" s="169" t="s">
        <v>184</v>
      </c>
    </row>
    <row r="16" spans="1:7" ht="75.75" customHeight="1">
      <c r="A16" s="169" t="s">
        <v>307</v>
      </c>
      <c r="B16" s="169" t="s">
        <v>314</v>
      </c>
      <c r="C16" s="169" t="s">
        <v>658</v>
      </c>
      <c r="D16" s="169" t="s">
        <v>185</v>
      </c>
      <c r="E16" s="169" t="s">
        <v>280</v>
      </c>
      <c r="F16" s="169" t="s">
        <v>186</v>
      </c>
    </row>
    <row r="17" spans="1:6" ht="74.25" customHeight="1">
      <c r="A17" s="169" t="s">
        <v>82</v>
      </c>
      <c r="B17" s="169" t="s">
        <v>229</v>
      </c>
      <c r="C17" s="169" t="s">
        <v>621</v>
      </c>
      <c r="D17" s="169" t="s">
        <v>185</v>
      </c>
      <c r="E17" s="169" t="s">
        <v>280</v>
      </c>
      <c r="F17" s="169" t="s">
        <v>186</v>
      </c>
    </row>
    <row r="18" spans="1:6" ht="15">
      <c r="A18" s="183"/>
      <c r="B18" s="183"/>
      <c r="C18" s="183"/>
      <c r="D18" s="183"/>
      <c r="E18" s="183"/>
      <c r="F18" s="183"/>
    </row>
    <row r="19" spans="1:6" ht="15">
      <c r="A19" s="183"/>
      <c r="B19" s="183"/>
      <c r="C19" s="183"/>
      <c r="D19" s="183"/>
      <c r="E19" s="183"/>
      <c r="F19" s="183"/>
    </row>
    <row r="20" spans="1:6" ht="15">
      <c r="A20" s="183"/>
      <c r="B20" s="183"/>
      <c r="C20" s="183"/>
      <c r="D20" s="183"/>
      <c r="E20" s="183"/>
      <c r="F20" s="183"/>
    </row>
    <row r="21" spans="1:6" ht="15">
      <c r="A21" s="183"/>
      <c r="B21" s="183"/>
      <c r="C21" s="183"/>
      <c r="D21" s="183"/>
      <c r="E21" s="183"/>
      <c r="F21" s="183"/>
    </row>
    <row r="22" spans="1:6" ht="15">
      <c r="A22" s="183"/>
      <c r="B22" s="183"/>
      <c r="C22" s="183"/>
      <c r="D22" s="183"/>
      <c r="E22" s="183"/>
      <c r="F22" s="183"/>
    </row>
    <row r="23" spans="1:6" ht="15">
      <c r="A23" s="183"/>
      <c r="B23" s="183"/>
      <c r="C23" s="183"/>
      <c r="D23" s="183"/>
      <c r="E23" s="183"/>
      <c r="F23" s="183"/>
    </row>
    <row r="24" spans="1:6" ht="15">
      <c r="A24" s="183"/>
      <c r="B24" s="183"/>
      <c r="C24" s="183"/>
      <c r="D24" s="183"/>
      <c r="E24" s="183"/>
      <c r="F24" s="183"/>
    </row>
    <row r="25" spans="1:6" ht="15">
      <c r="A25" s="183"/>
      <c r="B25" s="183"/>
      <c r="C25" s="183"/>
      <c r="D25" s="183"/>
      <c r="E25" s="183"/>
      <c r="F25" s="183"/>
    </row>
    <row r="26" spans="1:6" ht="15">
      <c r="A26" s="183"/>
      <c r="B26" s="183"/>
      <c r="C26" s="183"/>
      <c r="D26" s="183"/>
      <c r="E26" s="183"/>
      <c r="F26" s="183"/>
    </row>
    <row r="27" spans="1:6" ht="15">
      <c r="A27" s="183"/>
      <c r="B27" s="183"/>
      <c r="C27" s="183"/>
      <c r="D27" s="183"/>
      <c r="E27" s="183"/>
      <c r="F27" s="183"/>
    </row>
    <row r="28" spans="1:6" ht="15">
      <c r="A28" s="183"/>
      <c r="B28" s="183"/>
      <c r="C28" s="191"/>
      <c r="D28" s="206"/>
      <c r="E28" s="206"/>
      <c r="F28" s="183"/>
    </row>
    <row r="29" spans="1:6" ht="15">
      <c r="A29" s="183"/>
      <c r="B29" s="183"/>
      <c r="C29" s="191"/>
      <c r="D29" s="206"/>
      <c r="E29" s="206"/>
      <c r="F29" s="183"/>
    </row>
    <row r="30" spans="1:6" ht="15">
      <c r="A30" s="183"/>
      <c r="B30" s="183"/>
      <c r="C30" s="191"/>
      <c r="D30" s="206"/>
      <c r="E30" s="206"/>
      <c r="F30" s="183"/>
    </row>
    <row r="31" spans="1:6" ht="15">
      <c r="A31" s="183"/>
      <c r="B31" s="183"/>
      <c r="C31" s="191"/>
      <c r="D31" s="206"/>
      <c r="E31" s="206"/>
      <c r="F31" s="183"/>
    </row>
    <row r="32" spans="1:6" ht="15">
      <c r="A32" s="183"/>
      <c r="B32" s="183"/>
    </row>
    <row r="33" spans="1:2" ht="15">
      <c r="A33" s="183"/>
      <c r="B33" s="183"/>
    </row>
    <row r="34" spans="1:2" ht="15">
      <c r="A34" s="183"/>
      <c r="B34" s="183"/>
    </row>
    <row r="35" spans="1:2" ht="15">
      <c r="A35" s="183"/>
      <c r="B35" s="183"/>
    </row>
    <row r="36" spans="1:2" ht="15">
      <c r="A36" s="183"/>
      <c r="B36" s="183"/>
    </row>
    <row r="37" spans="1:2" ht="15">
      <c r="A37" s="183"/>
      <c r="B37" s="183"/>
    </row>
    <row r="38" spans="1:2" ht="15">
      <c r="A38" s="183"/>
      <c r="B38" s="183"/>
    </row>
  </sheetData>
  <mergeCells count="9">
    <mergeCell ref="A13:A14"/>
    <mergeCell ref="B13:B14"/>
    <mergeCell ref="C13:C14"/>
    <mergeCell ref="A1:F1"/>
    <mergeCell ref="A2:F2"/>
    <mergeCell ref="A3:F3"/>
    <mergeCell ref="A11:A12"/>
    <mergeCell ref="B11:B12"/>
    <mergeCell ref="C11:C1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A9EE-2EC8-4816-96E3-EE17CA1C63BA}">
  <sheetPr codeName="Sheet13">
    <tabColor rgb="FFFF0000"/>
  </sheetPr>
  <dimension ref="A1:N21"/>
  <sheetViews>
    <sheetView workbookViewId="0">
      <selection activeCell="E8" sqref="E8"/>
    </sheetView>
  </sheetViews>
  <sheetFormatPr defaultColWidth="9.46484375" defaultRowHeight="13.5"/>
  <cols>
    <col min="1" max="1" width="12" style="137" bestFit="1" customWidth="1"/>
    <col min="2" max="2" width="19.06640625" style="137" customWidth="1"/>
    <col min="3" max="3" width="60.59765625" style="202" customWidth="1"/>
    <col min="4" max="4" width="12.59765625" style="137" bestFit="1" customWidth="1"/>
    <col min="5" max="5" width="52.53125" style="137" customWidth="1"/>
    <col min="6" max="6" width="23.53125" style="137" customWidth="1"/>
    <col min="7" max="7" width="15.9296875" style="137" customWidth="1"/>
    <col min="8" max="13" width="9.46484375" style="137"/>
    <col min="14" max="14" width="29.33203125" style="137" customWidth="1"/>
    <col min="15" max="16384" width="9.46484375" style="137"/>
  </cols>
  <sheetData>
    <row r="1" spans="1:14" ht="22.5">
      <c r="A1" s="307" t="s">
        <v>42</v>
      </c>
      <c r="B1" s="307"/>
      <c r="C1" s="307"/>
      <c r="D1" s="307"/>
      <c r="E1" s="307"/>
      <c r="F1" s="177"/>
      <c r="G1" s="177"/>
      <c r="H1" s="177"/>
      <c r="I1" s="177"/>
      <c r="J1" s="177"/>
      <c r="K1" s="177"/>
      <c r="L1" s="177"/>
      <c r="M1" s="177"/>
      <c r="N1" s="177"/>
    </row>
    <row r="2" spans="1:14" ht="51" customHeight="1">
      <c r="A2" s="357" t="s">
        <v>336</v>
      </c>
      <c r="B2" s="357"/>
      <c r="C2" s="357"/>
      <c r="D2" s="357"/>
      <c r="E2" s="357"/>
      <c r="F2" s="152"/>
    </row>
    <row r="3" spans="1:14" ht="73.5" customHeight="1">
      <c r="A3" s="358" t="s">
        <v>676</v>
      </c>
      <c r="B3" s="358"/>
      <c r="C3" s="358"/>
      <c r="D3" s="358"/>
      <c r="E3" s="358"/>
      <c r="F3" s="153"/>
      <c r="G3" s="153"/>
      <c r="H3" s="153"/>
      <c r="I3" s="153"/>
      <c r="J3" s="153"/>
      <c r="K3" s="153"/>
      <c r="L3" s="153"/>
      <c r="M3" s="153"/>
      <c r="N3" s="153"/>
    </row>
    <row r="4" spans="1:14" s="147" customFormat="1" ht="15">
      <c r="A4" s="207" t="s">
        <v>106</v>
      </c>
      <c r="B4" s="207" t="s">
        <v>243</v>
      </c>
      <c r="C4" s="207" t="s">
        <v>337</v>
      </c>
      <c r="D4" s="207" t="s">
        <v>43</v>
      </c>
      <c r="E4" s="207" t="s">
        <v>240</v>
      </c>
    </row>
    <row r="5" spans="1:14" ht="81">
      <c r="A5" s="208" t="s">
        <v>117</v>
      </c>
      <c r="B5" s="209" t="s">
        <v>252</v>
      </c>
      <c r="C5" s="209" t="s">
        <v>188</v>
      </c>
      <c r="D5" s="210" t="s">
        <v>85</v>
      </c>
      <c r="E5" s="209" t="s">
        <v>86</v>
      </c>
    </row>
    <row r="6" spans="1:14" ht="67.5">
      <c r="A6" s="208" t="s">
        <v>115</v>
      </c>
      <c r="B6" s="209" t="s">
        <v>250</v>
      </c>
      <c r="C6" s="209" t="s">
        <v>116</v>
      </c>
      <c r="D6" s="210" t="s">
        <v>71</v>
      </c>
      <c r="E6" s="209" t="s">
        <v>72</v>
      </c>
    </row>
    <row r="7" spans="1:14" ht="54">
      <c r="A7" s="208" t="s">
        <v>109</v>
      </c>
      <c r="B7" s="209" t="s">
        <v>246</v>
      </c>
      <c r="C7" s="211" t="s">
        <v>253</v>
      </c>
      <c r="D7" s="208" t="s">
        <v>119</v>
      </c>
      <c r="E7" s="211" t="s">
        <v>120</v>
      </c>
      <c r="F7" s="144"/>
    </row>
    <row r="8" spans="1:14" ht="54">
      <c r="A8" s="208" t="s">
        <v>125</v>
      </c>
      <c r="B8" s="209" t="s">
        <v>255</v>
      </c>
      <c r="C8" s="211" t="s">
        <v>126</v>
      </c>
      <c r="D8" s="210" t="s">
        <v>127</v>
      </c>
      <c r="E8" s="209" t="s">
        <v>128</v>
      </c>
    </row>
    <row r="9" spans="1:14" ht="27">
      <c r="A9" s="208" t="s">
        <v>351</v>
      </c>
      <c r="B9" s="209" t="s">
        <v>352</v>
      </c>
      <c r="C9" s="211" t="s">
        <v>677</v>
      </c>
      <c r="D9" s="210" t="s">
        <v>417</v>
      </c>
      <c r="E9" s="211" t="s">
        <v>418</v>
      </c>
      <c r="F9" s="144"/>
    </row>
    <row r="10" spans="1:14" ht="40.5">
      <c r="A10" s="208" t="s">
        <v>121</v>
      </c>
      <c r="B10" s="209" t="s">
        <v>254</v>
      </c>
      <c r="C10" s="211" t="s">
        <v>122</v>
      </c>
      <c r="D10" s="210" t="s">
        <v>92</v>
      </c>
      <c r="E10" s="211" t="s">
        <v>93</v>
      </c>
      <c r="F10" s="144"/>
    </row>
    <row r="11" spans="1:14" ht="40.5">
      <c r="A11" s="208" t="s">
        <v>309</v>
      </c>
      <c r="B11" s="209" t="s">
        <v>359</v>
      </c>
      <c r="C11" s="211" t="s">
        <v>413</v>
      </c>
      <c r="D11" s="210" t="s">
        <v>49</v>
      </c>
      <c r="E11" s="211" t="s">
        <v>412</v>
      </c>
      <c r="F11" s="144"/>
    </row>
    <row r="12" spans="1:14" s="134" customFormat="1" ht="60" customHeight="1">
      <c r="A12" s="359" t="s">
        <v>107</v>
      </c>
      <c r="B12" s="361" t="s">
        <v>245</v>
      </c>
      <c r="C12" s="363" t="s">
        <v>108</v>
      </c>
      <c r="D12" s="212" t="s">
        <v>372</v>
      </c>
      <c r="E12" s="213" t="s">
        <v>373</v>
      </c>
      <c r="F12" s="100"/>
      <c r="G12" s="100"/>
      <c r="H12" s="100"/>
      <c r="I12" s="100"/>
      <c r="J12" s="100"/>
      <c r="K12" s="100"/>
      <c r="L12" s="100"/>
      <c r="M12" s="100"/>
      <c r="N12" s="100"/>
    </row>
    <row r="13" spans="1:14" s="134" customFormat="1">
      <c r="A13" s="360"/>
      <c r="B13" s="362"/>
      <c r="C13" s="364"/>
      <c r="D13" s="214" t="s">
        <v>53</v>
      </c>
      <c r="E13" s="214" t="s">
        <v>54</v>
      </c>
      <c r="F13" s="100"/>
      <c r="G13" s="100"/>
      <c r="H13" s="100"/>
      <c r="I13" s="100"/>
      <c r="J13" s="100"/>
      <c r="K13" s="100"/>
      <c r="L13" s="100"/>
      <c r="M13" s="100"/>
      <c r="N13" s="100"/>
    </row>
    <row r="14" spans="1:14" ht="40.5">
      <c r="A14" s="208" t="s">
        <v>296</v>
      </c>
      <c r="B14" s="209" t="s">
        <v>415</v>
      </c>
      <c r="C14" s="211" t="s">
        <v>416</v>
      </c>
      <c r="D14" s="210" t="s">
        <v>56</v>
      </c>
      <c r="E14" s="211" t="s">
        <v>414</v>
      </c>
      <c r="F14" s="100"/>
      <c r="G14" s="100"/>
      <c r="H14" s="100"/>
      <c r="I14" s="100"/>
      <c r="J14" s="100"/>
      <c r="K14" s="100"/>
      <c r="L14" s="100"/>
      <c r="M14" s="100"/>
      <c r="N14" s="100"/>
    </row>
    <row r="15" spans="1:14" s="134" customFormat="1" ht="81">
      <c r="A15" s="212" t="s">
        <v>113</v>
      </c>
      <c r="B15" s="213" t="s">
        <v>249</v>
      </c>
      <c r="C15" s="214" t="s">
        <v>114</v>
      </c>
      <c r="D15" s="214" t="s">
        <v>69</v>
      </c>
      <c r="E15" s="214" t="s">
        <v>70</v>
      </c>
      <c r="F15" s="100"/>
      <c r="G15" s="100"/>
      <c r="H15" s="100"/>
      <c r="I15" s="100"/>
      <c r="J15" s="100"/>
      <c r="K15" s="100"/>
      <c r="L15" s="100"/>
      <c r="M15" s="100"/>
      <c r="N15" s="100"/>
    </row>
    <row r="16" spans="1:14" ht="83.25" customHeight="1">
      <c r="A16" s="351" t="s">
        <v>339</v>
      </c>
      <c r="B16" s="353" t="s">
        <v>340</v>
      </c>
      <c r="C16" s="355" t="s">
        <v>341</v>
      </c>
      <c r="D16" s="210" t="s">
        <v>374</v>
      </c>
      <c r="E16" s="209" t="s">
        <v>678</v>
      </c>
    </row>
    <row r="17" spans="1:6" ht="63" customHeight="1">
      <c r="A17" s="352"/>
      <c r="B17" s="354"/>
      <c r="C17" s="356"/>
      <c r="D17" s="210" t="s">
        <v>419</v>
      </c>
      <c r="E17" s="211" t="s">
        <v>420</v>
      </c>
      <c r="F17" s="144"/>
    </row>
    <row r="18" spans="1:6" ht="81">
      <c r="A18" s="208" t="s">
        <v>111</v>
      </c>
      <c r="B18" s="209" t="s">
        <v>248</v>
      </c>
      <c r="C18" s="211" t="s">
        <v>112</v>
      </c>
      <c r="D18" s="210" t="s">
        <v>64</v>
      </c>
      <c r="E18" s="211" t="s">
        <v>65</v>
      </c>
      <c r="F18" s="144"/>
    </row>
    <row r="19" spans="1:6" ht="54">
      <c r="A19" s="208" t="s">
        <v>135</v>
      </c>
      <c r="B19" s="209" t="s">
        <v>257</v>
      </c>
      <c r="C19" s="211" t="s">
        <v>136</v>
      </c>
      <c r="D19" s="210" t="s">
        <v>133</v>
      </c>
      <c r="E19" s="209" t="s">
        <v>134</v>
      </c>
    </row>
    <row r="20" spans="1:6" ht="94.5">
      <c r="A20" s="208" t="s">
        <v>131</v>
      </c>
      <c r="B20" s="209" t="s">
        <v>256</v>
      </c>
      <c r="C20" s="211" t="s">
        <v>132</v>
      </c>
      <c r="D20" s="210" t="s">
        <v>129</v>
      </c>
      <c r="E20" s="211" t="s">
        <v>130</v>
      </c>
      <c r="F20" s="144"/>
    </row>
    <row r="21" spans="1:6" ht="40.5">
      <c r="A21" s="208" t="s">
        <v>302</v>
      </c>
      <c r="B21" s="209" t="s">
        <v>303</v>
      </c>
      <c r="C21" s="211" t="s">
        <v>304</v>
      </c>
      <c r="D21" s="210" t="s">
        <v>375</v>
      </c>
      <c r="E21" s="209" t="s">
        <v>376</v>
      </c>
    </row>
  </sheetData>
  <mergeCells count="9">
    <mergeCell ref="A16:A17"/>
    <mergeCell ref="B16:B17"/>
    <mergeCell ref="C16:C17"/>
    <mergeCell ref="A1:E1"/>
    <mergeCell ref="A2:E2"/>
    <mergeCell ref="A3:E3"/>
    <mergeCell ref="A12:A13"/>
    <mergeCell ref="B12:B13"/>
    <mergeCell ref="C12:C13"/>
  </mergeCells>
  <dataValidations count="1">
    <dataValidation allowBlank="1" showInputMessage="1" showErrorMessage="1" sqref="D16:D18" xr:uid="{A6B25FF7-1271-4D01-A4BE-57577A4CA0F4}"/>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06E3-57C1-4160-9C9E-FC97CA07478A}">
  <sheetPr codeName="Sheet14">
    <tabColor rgb="FFFF0000"/>
  </sheetPr>
  <dimension ref="A1:O19"/>
  <sheetViews>
    <sheetView topLeftCell="A16" workbookViewId="0">
      <selection activeCell="D21" sqref="D21"/>
    </sheetView>
  </sheetViews>
  <sheetFormatPr defaultColWidth="9.46484375" defaultRowHeight="13.5"/>
  <cols>
    <col min="1" max="1" width="12" style="137" bestFit="1" customWidth="1"/>
    <col min="2" max="2" width="18.06640625" style="137" customWidth="1"/>
    <col min="3" max="3" width="53.53125" style="202" customWidth="1"/>
    <col min="4" max="4" width="12.59765625" style="137" bestFit="1" customWidth="1"/>
    <col min="5" max="5" width="27.06640625" style="137" customWidth="1"/>
    <col min="6" max="6" width="42.06640625" style="137" customWidth="1"/>
    <col min="7" max="7" width="24.9296875" style="137" customWidth="1"/>
    <col min="8" max="8" width="14.59765625" style="137" customWidth="1"/>
    <col min="9" max="14" width="9.46484375" style="137"/>
    <col min="15" max="15" width="29.33203125" style="137" customWidth="1"/>
    <col min="16" max="16384" width="9.46484375" style="137"/>
  </cols>
  <sheetData>
    <row r="1" spans="1:15" ht="22.5">
      <c r="A1" s="307" t="s">
        <v>42</v>
      </c>
      <c r="B1" s="307"/>
      <c r="C1" s="307"/>
      <c r="D1" s="307"/>
      <c r="E1" s="307"/>
      <c r="F1" s="307"/>
      <c r="G1" s="100"/>
      <c r="H1" s="100"/>
      <c r="I1" s="100"/>
      <c r="J1" s="100"/>
      <c r="K1" s="100"/>
      <c r="L1" s="100"/>
      <c r="M1" s="100"/>
      <c r="N1" s="100"/>
      <c r="O1" s="100"/>
    </row>
    <row r="2" spans="1:15" ht="53.25" customHeight="1">
      <c r="A2" s="371" t="s">
        <v>336</v>
      </c>
      <c r="B2" s="371"/>
      <c r="C2" s="371"/>
      <c r="D2" s="371"/>
      <c r="E2" s="371"/>
      <c r="F2" s="371"/>
      <c r="G2" s="152"/>
    </row>
    <row r="3" spans="1:15" ht="68.25" customHeight="1">
      <c r="A3" s="372" t="s">
        <v>679</v>
      </c>
      <c r="B3" s="372"/>
      <c r="C3" s="372"/>
      <c r="D3" s="372"/>
      <c r="E3" s="372"/>
      <c r="F3" s="372"/>
      <c r="G3" s="153"/>
      <c r="H3" s="153"/>
      <c r="I3" s="153"/>
      <c r="J3" s="153"/>
      <c r="K3" s="153"/>
      <c r="L3" s="153"/>
      <c r="M3" s="153"/>
      <c r="N3" s="153"/>
      <c r="O3" s="153"/>
    </row>
    <row r="4" spans="1:15" s="147" customFormat="1" ht="15">
      <c r="A4" s="215" t="s">
        <v>106</v>
      </c>
      <c r="B4" s="215" t="s">
        <v>243</v>
      </c>
      <c r="C4" s="215" t="s">
        <v>337</v>
      </c>
      <c r="D4" s="215" t="s">
        <v>44</v>
      </c>
      <c r="E4" s="215" t="s">
        <v>239</v>
      </c>
      <c r="F4" s="215" t="s">
        <v>338</v>
      </c>
    </row>
    <row r="5" spans="1:15" ht="121.5">
      <c r="A5" s="208" t="s">
        <v>117</v>
      </c>
      <c r="B5" s="209" t="s">
        <v>252</v>
      </c>
      <c r="C5" s="209" t="s">
        <v>118</v>
      </c>
      <c r="D5" s="216" t="s">
        <v>87</v>
      </c>
      <c r="E5" s="216" t="s">
        <v>651</v>
      </c>
      <c r="F5" s="209" t="s">
        <v>652</v>
      </c>
    </row>
    <row r="6" spans="1:15" ht="67.5">
      <c r="A6" s="208" t="s">
        <v>115</v>
      </c>
      <c r="B6" s="209" t="s">
        <v>250</v>
      </c>
      <c r="C6" s="209" t="s">
        <v>116</v>
      </c>
      <c r="D6" s="216" t="s">
        <v>73</v>
      </c>
      <c r="E6" s="216" t="s">
        <v>232</v>
      </c>
      <c r="F6" s="209" t="s">
        <v>618</v>
      </c>
    </row>
    <row r="7" spans="1:15" ht="60" customHeight="1">
      <c r="A7" s="365" t="s">
        <v>109</v>
      </c>
      <c r="B7" s="353" t="s">
        <v>458</v>
      </c>
      <c r="C7" s="373" t="s">
        <v>680</v>
      </c>
      <c r="D7" s="216" t="s">
        <v>66</v>
      </c>
      <c r="E7" s="216" t="s">
        <v>290</v>
      </c>
      <c r="F7" s="209" t="s">
        <v>67</v>
      </c>
      <c r="G7" s="144"/>
    </row>
    <row r="8" spans="1:15" ht="81">
      <c r="A8" s="366"/>
      <c r="B8" s="369"/>
      <c r="C8" s="374"/>
      <c r="D8" s="216" t="s">
        <v>459</v>
      </c>
      <c r="E8" s="216" t="s">
        <v>460</v>
      </c>
      <c r="F8" s="209" t="s">
        <v>662</v>
      </c>
      <c r="G8" s="144"/>
    </row>
    <row r="9" spans="1:15" ht="54">
      <c r="A9" s="208" t="s">
        <v>121</v>
      </c>
      <c r="B9" s="209" t="s">
        <v>254</v>
      </c>
      <c r="C9" s="217" t="s">
        <v>289</v>
      </c>
      <c r="D9" s="216" t="s">
        <v>90</v>
      </c>
      <c r="E9" s="216" t="s">
        <v>465</v>
      </c>
      <c r="F9" s="209" t="s">
        <v>91</v>
      </c>
      <c r="G9" s="144"/>
    </row>
    <row r="10" spans="1:15" ht="40.5">
      <c r="A10" s="208" t="s">
        <v>309</v>
      </c>
      <c r="B10" s="209" t="s">
        <v>310</v>
      </c>
      <c r="C10" s="217" t="s">
        <v>311</v>
      </c>
      <c r="D10" s="216" t="s">
        <v>307</v>
      </c>
      <c r="E10" s="218" t="s">
        <v>308</v>
      </c>
      <c r="F10" s="209" t="s">
        <v>52</v>
      </c>
      <c r="G10" s="144"/>
    </row>
    <row r="11" spans="1:15" ht="67.5">
      <c r="A11" s="365" t="s">
        <v>296</v>
      </c>
      <c r="B11" s="353" t="s">
        <v>297</v>
      </c>
      <c r="C11" s="355" t="s">
        <v>298</v>
      </c>
      <c r="D11" s="216" t="s">
        <v>293</v>
      </c>
      <c r="E11" s="218" t="s">
        <v>294</v>
      </c>
      <c r="F11" s="219" t="s">
        <v>295</v>
      </c>
    </row>
    <row r="12" spans="1:15" ht="54">
      <c r="A12" s="366"/>
      <c r="B12" s="369"/>
      <c r="C12" s="356"/>
      <c r="D12" s="216" t="s">
        <v>430</v>
      </c>
      <c r="E12" s="218" t="s">
        <v>431</v>
      </c>
      <c r="F12" s="209" t="s">
        <v>664</v>
      </c>
      <c r="G12" s="144"/>
    </row>
    <row r="13" spans="1:15" ht="81" customHeight="1">
      <c r="A13" s="365" t="s">
        <v>113</v>
      </c>
      <c r="B13" s="353" t="s">
        <v>249</v>
      </c>
      <c r="C13" s="355" t="s">
        <v>114</v>
      </c>
      <c r="D13" s="216" t="s">
        <v>47</v>
      </c>
      <c r="E13" s="218" t="s">
        <v>222</v>
      </c>
      <c r="F13" s="219" t="s">
        <v>48</v>
      </c>
    </row>
    <row r="14" spans="1:15" ht="135">
      <c r="A14" s="366"/>
      <c r="B14" s="369"/>
      <c r="C14" s="370"/>
      <c r="D14" s="216" t="s">
        <v>305</v>
      </c>
      <c r="E14" s="218" t="s">
        <v>306</v>
      </c>
      <c r="F14" s="209" t="s">
        <v>681</v>
      </c>
      <c r="G14" s="144"/>
    </row>
    <row r="15" spans="1:15" ht="169.5" customHeight="1">
      <c r="A15" s="208" t="s">
        <v>339</v>
      </c>
      <c r="B15" s="209" t="s">
        <v>340</v>
      </c>
      <c r="C15" s="209" t="s">
        <v>341</v>
      </c>
      <c r="D15" s="216" t="s">
        <v>73</v>
      </c>
      <c r="E15" s="218" t="s">
        <v>232</v>
      </c>
      <c r="F15" s="219" t="s">
        <v>618</v>
      </c>
    </row>
    <row r="16" spans="1:15" ht="98.25" customHeight="1">
      <c r="A16" s="365" t="s">
        <v>111</v>
      </c>
      <c r="B16" s="365" t="s">
        <v>291</v>
      </c>
      <c r="C16" s="367" t="s">
        <v>292</v>
      </c>
      <c r="D16" s="220" t="s">
        <v>61</v>
      </c>
      <c r="E16" s="221" t="s">
        <v>682</v>
      </c>
      <c r="F16" s="222" t="s">
        <v>62</v>
      </c>
    </row>
    <row r="17" spans="1:7" ht="92.25" customHeight="1">
      <c r="A17" s="366"/>
      <c r="B17" s="366"/>
      <c r="C17" s="368"/>
      <c r="D17" s="220" t="s">
        <v>73</v>
      </c>
      <c r="E17" s="221" t="s">
        <v>232</v>
      </c>
      <c r="F17" s="222" t="s">
        <v>618</v>
      </c>
      <c r="G17" s="144"/>
    </row>
    <row r="18" spans="1:7" ht="67.5">
      <c r="A18" s="208" t="s">
        <v>135</v>
      </c>
      <c r="B18" s="209" t="s">
        <v>301</v>
      </c>
      <c r="C18" s="217" t="s">
        <v>683</v>
      </c>
      <c r="D18" s="223" t="s">
        <v>55</v>
      </c>
      <c r="E18" s="221" t="s">
        <v>221</v>
      </c>
      <c r="F18" s="222" t="s">
        <v>612</v>
      </c>
    </row>
    <row r="19" spans="1:7" ht="67.5">
      <c r="A19" s="208" t="s">
        <v>302</v>
      </c>
      <c r="B19" s="209" t="s">
        <v>303</v>
      </c>
      <c r="C19" s="224" t="s">
        <v>304</v>
      </c>
      <c r="D19" s="220" t="s">
        <v>55</v>
      </c>
      <c r="E19" s="221" t="s">
        <v>221</v>
      </c>
      <c r="F19" s="222" t="s">
        <v>612</v>
      </c>
    </row>
  </sheetData>
  <mergeCells count="15">
    <mergeCell ref="A1:F1"/>
    <mergeCell ref="A2:F2"/>
    <mergeCell ref="A3:F3"/>
    <mergeCell ref="A7:A8"/>
    <mergeCell ref="B7:B8"/>
    <mergeCell ref="C7:C8"/>
    <mergeCell ref="A16:A17"/>
    <mergeCell ref="B16:B17"/>
    <mergeCell ref="C16:C17"/>
    <mergeCell ref="A11:A12"/>
    <mergeCell ref="B11:B12"/>
    <mergeCell ref="C11:C12"/>
    <mergeCell ref="A13:A14"/>
    <mergeCell ref="B13:B14"/>
    <mergeCell ref="C13:C1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A3905-388E-4976-BE70-A589267224C0}">
  <sheetPr codeName="Sheet15">
    <tabColor rgb="FFFF0000"/>
  </sheetPr>
  <dimension ref="A1:O13"/>
  <sheetViews>
    <sheetView topLeftCell="A8" workbookViewId="0">
      <selection activeCell="F8" sqref="F8"/>
    </sheetView>
  </sheetViews>
  <sheetFormatPr defaultColWidth="9.46484375" defaultRowHeight="13.5"/>
  <cols>
    <col min="1" max="1" width="12" style="137" bestFit="1" customWidth="1"/>
    <col min="2" max="2" width="18.53125" style="137" customWidth="1"/>
    <col min="3" max="3" width="52.46484375" style="137" customWidth="1"/>
    <col min="4" max="4" width="12.59765625" style="226" bestFit="1" customWidth="1"/>
    <col min="5" max="5" width="21.46484375" style="137" customWidth="1"/>
    <col min="6" max="6" width="52.53125" style="137" customWidth="1"/>
    <col min="7" max="7" width="28.33203125" style="137" customWidth="1"/>
    <col min="8" max="8" width="15.33203125" style="137" customWidth="1"/>
    <col min="9" max="14" width="9.46484375" style="137"/>
    <col min="15" max="15" width="29.33203125" style="137" customWidth="1"/>
    <col min="16" max="16384" width="9.46484375" style="137"/>
  </cols>
  <sheetData>
    <row r="1" spans="1:15" ht="22.5">
      <c r="A1" s="307" t="s">
        <v>42</v>
      </c>
      <c r="B1" s="307"/>
      <c r="C1" s="307"/>
      <c r="D1" s="307"/>
      <c r="E1" s="307"/>
      <c r="F1" s="307"/>
      <c r="G1" s="177"/>
      <c r="H1" s="177"/>
      <c r="I1" s="177"/>
      <c r="J1" s="177"/>
      <c r="K1" s="177"/>
      <c r="L1" s="177"/>
      <c r="M1" s="177"/>
      <c r="N1" s="177"/>
      <c r="O1" s="177"/>
    </row>
    <row r="2" spans="1:15" ht="50.25" customHeight="1">
      <c r="A2" s="375" t="s">
        <v>476</v>
      </c>
      <c r="B2" s="375"/>
      <c r="C2" s="375"/>
      <c r="D2" s="375"/>
      <c r="E2" s="375"/>
      <c r="F2" s="375"/>
      <c r="G2" s="136"/>
    </row>
    <row r="3" spans="1:15" ht="76.5" customHeight="1">
      <c r="A3" s="376" t="s">
        <v>684</v>
      </c>
      <c r="B3" s="376"/>
      <c r="C3" s="376"/>
      <c r="D3" s="376"/>
      <c r="E3" s="376"/>
      <c r="F3" s="376"/>
      <c r="G3" s="153"/>
      <c r="H3" s="189"/>
      <c r="I3" s="189"/>
      <c r="J3" s="189"/>
      <c r="K3" s="189"/>
      <c r="L3" s="189"/>
      <c r="M3" s="189"/>
      <c r="N3" s="189"/>
      <c r="O3" s="189"/>
    </row>
    <row r="4" spans="1:15" s="147" customFormat="1" ht="15">
      <c r="A4" s="215" t="s">
        <v>106</v>
      </c>
      <c r="B4" s="215" t="s">
        <v>243</v>
      </c>
      <c r="C4" s="215" t="s">
        <v>337</v>
      </c>
      <c r="D4" s="215" t="s">
        <v>322</v>
      </c>
      <c r="E4" s="215" t="s">
        <v>323</v>
      </c>
      <c r="F4" s="215" t="s">
        <v>271</v>
      </c>
    </row>
    <row r="5" spans="1:15" ht="67.5">
      <c r="A5" s="170" t="s">
        <v>115</v>
      </c>
      <c r="B5" s="169" t="s">
        <v>250</v>
      </c>
      <c r="C5" s="169" t="s">
        <v>116</v>
      </c>
      <c r="D5" s="168" t="s">
        <v>146</v>
      </c>
      <c r="E5" s="225" t="s">
        <v>260</v>
      </c>
      <c r="F5" s="169" t="s">
        <v>259</v>
      </c>
    </row>
    <row r="6" spans="1:15" ht="67.5">
      <c r="A6" s="170" t="s">
        <v>109</v>
      </c>
      <c r="B6" s="169" t="s">
        <v>246</v>
      </c>
      <c r="C6" s="169" t="s">
        <v>110</v>
      </c>
      <c r="D6" s="168" t="s">
        <v>153</v>
      </c>
      <c r="E6" s="225" t="s">
        <v>263</v>
      </c>
      <c r="F6" s="169" t="s">
        <v>668</v>
      </c>
      <c r="G6" s="144"/>
    </row>
    <row r="7" spans="1:15" ht="175.5">
      <c r="A7" s="170" t="s">
        <v>345</v>
      </c>
      <c r="B7" s="169" t="s">
        <v>346</v>
      </c>
      <c r="C7" s="169" t="s">
        <v>347</v>
      </c>
      <c r="D7" s="168" t="s">
        <v>477</v>
      </c>
      <c r="E7" s="225" t="s">
        <v>478</v>
      </c>
      <c r="F7" s="169" t="s">
        <v>479</v>
      </c>
      <c r="G7" s="144"/>
    </row>
    <row r="8" spans="1:15" ht="54">
      <c r="A8" s="170" t="s">
        <v>121</v>
      </c>
      <c r="B8" s="169" t="s">
        <v>254</v>
      </c>
      <c r="C8" s="169" t="s">
        <v>289</v>
      </c>
      <c r="D8" s="168" t="s">
        <v>155</v>
      </c>
      <c r="E8" s="225" t="s">
        <v>262</v>
      </c>
      <c r="F8" s="169" t="s">
        <v>156</v>
      </c>
    </row>
    <row r="9" spans="1:15" ht="40.5">
      <c r="A9" s="170" t="s">
        <v>107</v>
      </c>
      <c r="B9" s="169" t="s">
        <v>245</v>
      </c>
      <c r="C9" s="169" t="s">
        <v>108</v>
      </c>
      <c r="D9" s="168" t="s">
        <v>140</v>
      </c>
      <c r="E9" s="225" t="s">
        <v>269</v>
      </c>
      <c r="F9" s="169" t="s">
        <v>141</v>
      </c>
    </row>
    <row r="10" spans="1:15" ht="121.5">
      <c r="A10" s="170" t="s">
        <v>339</v>
      </c>
      <c r="B10" s="169" t="s">
        <v>340</v>
      </c>
      <c r="C10" s="169" t="s">
        <v>341</v>
      </c>
      <c r="D10" s="168" t="s">
        <v>146</v>
      </c>
      <c r="E10" s="225" t="s">
        <v>260</v>
      </c>
      <c r="F10" s="169" t="s">
        <v>259</v>
      </c>
    </row>
    <row r="11" spans="1:15" ht="94.5">
      <c r="A11" s="170" t="s">
        <v>111</v>
      </c>
      <c r="B11" s="169" t="s">
        <v>248</v>
      </c>
      <c r="C11" s="169" t="s">
        <v>112</v>
      </c>
      <c r="D11" s="168" t="s">
        <v>325</v>
      </c>
      <c r="E11" s="225" t="s">
        <v>326</v>
      </c>
      <c r="F11" s="169" t="s">
        <v>327</v>
      </c>
    </row>
    <row r="12" spans="1:15" ht="54">
      <c r="A12" s="170" t="s">
        <v>135</v>
      </c>
      <c r="B12" s="169" t="s">
        <v>257</v>
      </c>
      <c r="C12" s="169" t="s">
        <v>683</v>
      </c>
      <c r="D12" s="168" t="s">
        <v>157</v>
      </c>
      <c r="E12" s="225" t="s">
        <v>258</v>
      </c>
      <c r="F12" s="169" t="s">
        <v>637</v>
      </c>
    </row>
    <row r="13" spans="1:15" ht="40.5">
      <c r="A13" s="170" t="s">
        <v>302</v>
      </c>
      <c r="B13" s="169" t="s">
        <v>303</v>
      </c>
      <c r="C13" s="169" t="s">
        <v>304</v>
      </c>
      <c r="D13" s="168" t="s">
        <v>157</v>
      </c>
      <c r="E13" s="225" t="s">
        <v>258</v>
      </c>
      <c r="F13" s="169" t="s">
        <v>637</v>
      </c>
    </row>
  </sheetData>
  <mergeCells count="3">
    <mergeCell ref="A1:F1"/>
    <mergeCell ref="A2:F2"/>
    <mergeCell ref="A3:F3"/>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A18F8-C7C2-4DF7-8487-6A7619FA48D4}">
  <sheetPr codeName="Sheet16">
    <tabColor rgb="FFFF0000"/>
  </sheetPr>
  <dimension ref="A1:N10"/>
  <sheetViews>
    <sheetView topLeftCell="A4" zoomScale="106" zoomScaleNormal="106" workbookViewId="0">
      <selection activeCell="C7" sqref="C7"/>
    </sheetView>
  </sheetViews>
  <sheetFormatPr defaultColWidth="9.46484375" defaultRowHeight="13.5"/>
  <cols>
    <col min="1" max="1" width="12" style="137" bestFit="1" customWidth="1"/>
    <col min="2" max="2" width="17.46484375" style="137" bestFit="1" customWidth="1"/>
    <col min="3" max="3" width="58.53125" style="202" customWidth="1"/>
    <col min="4" max="4" width="12.59765625" style="137" bestFit="1" customWidth="1"/>
    <col min="5" max="5" width="52.53125" style="137" customWidth="1"/>
    <col min="6" max="6" width="32.9296875" style="137" customWidth="1"/>
    <col min="7" max="7" width="15.59765625" style="137" customWidth="1"/>
    <col min="8" max="13" width="9.46484375" style="137"/>
    <col min="14" max="14" width="29.33203125" style="137" customWidth="1"/>
    <col min="15" max="16384" width="9.46484375" style="137"/>
  </cols>
  <sheetData>
    <row r="1" spans="1:14" ht="22.5">
      <c r="A1" s="307" t="s">
        <v>42</v>
      </c>
      <c r="B1" s="307"/>
      <c r="C1" s="307"/>
      <c r="D1" s="307"/>
      <c r="E1" s="307"/>
      <c r="F1" s="177"/>
      <c r="G1" s="177"/>
      <c r="H1" s="177"/>
      <c r="I1" s="177"/>
      <c r="J1" s="177"/>
      <c r="K1" s="177"/>
      <c r="L1" s="177"/>
      <c r="M1" s="177"/>
      <c r="N1" s="177"/>
    </row>
    <row r="2" spans="1:14" ht="51" customHeight="1">
      <c r="A2" s="377" t="s">
        <v>336</v>
      </c>
      <c r="B2" s="377"/>
      <c r="C2" s="377"/>
      <c r="D2" s="377"/>
      <c r="E2" s="377"/>
      <c r="F2" s="152"/>
    </row>
    <row r="3" spans="1:14" ht="81" customHeight="1">
      <c r="A3" s="378" t="s">
        <v>685</v>
      </c>
      <c r="B3" s="379"/>
      <c r="C3" s="379"/>
      <c r="D3" s="379"/>
      <c r="E3" s="380"/>
      <c r="F3" s="153"/>
      <c r="G3" s="153"/>
      <c r="H3" s="153"/>
      <c r="I3" s="153"/>
      <c r="J3" s="153"/>
      <c r="K3" s="153"/>
      <c r="L3" s="153"/>
      <c r="M3" s="153"/>
      <c r="N3" s="153"/>
    </row>
    <row r="4" spans="1:14" s="139" customFormat="1" ht="30">
      <c r="A4" s="227" t="s">
        <v>106</v>
      </c>
      <c r="B4" s="227" t="s">
        <v>243</v>
      </c>
      <c r="C4" s="227" t="s">
        <v>337</v>
      </c>
      <c r="D4" s="227" t="s">
        <v>334</v>
      </c>
      <c r="E4" s="227" t="s">
        <v>335</v>
      </c>
    </row>
    <row r="5" spans="1:14" ht="54">
      <c r="A5" s="208" t="s">
        <v>125</v>
      </c>
      <c r="B5" s="209" t="s">
        <v>255</v>
      </c>
      <c r="C5" s="209" t="s">
        <v>126</v>
      </c>
      <c r="D5" s="213" t="s">
        <v>159</v>
      </c>
      <c r="E5" s="213" t="s">
        <v>158</v>
      </c>
    </row>
    <row r="6" spans="1:14" ht="40.5">
      <c r="A6" s="208" t="s">
        <v>107</v>
      </c>
      <c r="B6" s="209" t="s">
        <v>245</v>
      </c>
      <c r="C6" s="209" t="s">
        <v>108</v>
      </c>
      <c r="D6" s="228" t="s">
        <v>377</v>
      </c>
      <c r="E6" s="209" t="s">
        <v>378</v>
      </c>
    </row>
    <row r="7" spans="1:14" ht="121.5">
      <c r="A7" s="208" t="s">
        <v>339</v>
      </c>
      <c r="B7" s="209" t="s">
        <v>340</v>
      </c>
      <c r="C7" s="209" t="s">
        <v>341</v>
      </c>
      <c r="D7" s="228" t="s">
        <v>171</v>
      </c>
      <c r="E7" s="209" t="s">
        <v>170</v>
      </c>
    </row>
    <row r="8" spans="1:14">
      <c r="A8" s="229"/>
      <c r="B8" s="229"/>
      <c r="C8" s="230"/>
      <c r="D8" s="231"/>
      <c r="E8" s="230"/>
    </row>
    <row r="9" spans="1:14">
      <c r="D9" s="232"/>
      <c r="E9" s="202"/>
    </row>
    <row r="10" spans="1:14">
      <c r="D10" s="232"/>
      <c r="E10" s="202"/>
    </row>
  </sheetData>
  <mergeCells count="3">
    <mergeCell ref="A1:E1"/>
    <mergeCell ref="A2:E2"/>
    <mergeCell ref="A3:E3"/>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B37FE-7D77-4789-B551-99C67819D95C}">
  <sheetPr codeName="Sheet17">
    <tabColor rgb="FFFF0000"/>
  </sheetPr>
  <dimension ref="A1:O20"/>
  <sheetViews>
    <sheetView topLeftCell="A9" workbookViewId="0">
      <selection activeCell="F13" sqref="F13"/>
    </sheetView>
  </sheetViews>
  <sheetFormatPr defaultColWidth="9.46484375" defaultRowHeight="13.5"/>
  <cols>
    <col min="1" max="1" width="12" style="137" bestFit="1" customWidth="1"/>
    <col min="2" max="2" width="18.33203125" style="137" customWidth="1"/>
    <col min="3" max="3" width="52.53125" style="202" customWidth="1"/>
    <col min="4" max="4" width="12.59765625" style="137" bestFit="1" customWidth="1"/>
    <col min="5" max="5" width="20.46484375" style="137" customWidth="1"/>
    <col min="6" max="6" width="50.9296875" style="137" customWidth="1"/>
    <col min="7" max="7" width="28.59765625" style="137" customWidth="1"/>
    <col min="8" max="8" width="15.06640625" style="137" customWidth="1"/>
    <col min="9" max="14" width="9.46484375" style="137"/>
    <col min="15" max="15" width="29.33203125" style="137" customWidth="1"/>
    <col min="16" max="16384" width="9.46484375" style="137"/>
  </cols>
  <sheetData>
    <row r="1" spans="1:15" ht="22.5">
      <c r="A1" s="307" t="s">
        <v>42</v>
      </c>
      <c r="B1" s="307"/>
      <c r="C1" s="307"/>
      <c r="D1" s="307"/>
      <c r="E1" s="307"/>
      <c r="F1" s="307"/>
      <c r="G1" s="177"/>
      <c r="H1" s="177"/>
      <c r="I1" s="177"/>
      <c r="J1" s="177"/>
      <c r="K1" s="177"/>
      <c r="L1" s="177"/>
      <c r="M1" s="177"/>
      <c r="N1" s="177"/>
      <c r="O1" s="177"/>
    </row>
    <row r="2" spans="1:15" ht="48" customHeight="1">
      <c r="A2" s="381" t="s">
        <v>336</v>
      </c>
      <c r="B2" s="381"/>
      <c r="C2" s="381"/>
      <c r="D2" s="381"/>
      <c r="E2" s="381"/>
      <c r="F2" s="381"/>
      <c r="G2" s="152"/>
    </row>
    <row r="3" spans="1:15" ht="84.75" customHeight="1">
      <c r="A3" s="382" t="s">
        <v>686</v>
      </c>
      <c r="B3" s="382"/>
      <c r="C3" s="382"/>
      <c r="D3" s="382"/>
      <c r="E3" s="382"/>
      <c r="F3" s="382"/>
      <c r="G3" s="153"/>
      <c r="H3" s="153"/>
      <c r="I3" s="153"/>
      <c r="J3" s="153"/>
      <c r="K3" s="153"/>
      <c r="L3" s="153"/>
      <c r="M3" s="153"/>
      <c r="N3" s="153"/>
      <c r="O3" s="153"/>
    </row>
    <row r="4" spans="1:15" s="147" customFormat="1" ht="30">
      <c r="A4" s="215" t="s">
        <v>106</v>
      </c>
      <c r="B4" s="215" t="s">
        <v>243</v>
      </c>
      <c r="C4" s="215" t="s">
        <v>337</v>
      </c>
      <c r="D4" s="215" t="s">
        <v>312</v>
      </c>
      <c r="E4" s="215" t="s">
        <v>274</v>
      </c>
      <c r="F4" s="215" t="s">
        <v>313</v>
      </c>
    </row>
    <row r="5" spans="1:15" ht="108">
      <c r="A5" s="170" t="s">
        <v>117</v>
      </c>
      <c r="B5" s="169" t="s">
        <v>252</v>
      </c>
      <c r="C5" s="169" t="s">
        <v>188</v>
      </c>
      <c r="D5" s="225" t="s">
        <v>187</v>
      </c>
      <c r="E5" s="225" t="s">
        <v>281</v>
      </c>
      <c r="F5" s="233" t="s">
        <v>188</v>
      </c>
    </row>
    <row r="6" spans="1:15" ht="67.5">
      <c r="A6" s="170" t="s">
        <v>115</v>
      </c>
      <c r="B6" s="169" t="s">
        <v>250</v>
      </c>
      <c r="C6" s="169" t="s">
        <v>116</v>
      </c>
      <c r="D6" s="225" t="s">
        <v>181</v>
      </c>
      <c r="E6" s="225" t="s">
        <v>279</v>
      </c>
      <c r="F6" s="169" t="s">
        <v>182</v>
      </c>
    </row>
    <row r="7" spans="1:15" ht="81">
      <c r="A7" s="170" t="s">
        <v>109</v>
      </c>
      <c r="B7" s="169" t="s">
        <v>246</v>
      </c>
      <c r="C7" s="169" t="s">
        <v>110</v>
      </c>
      <c r="D7" s="225" t="s">
        <v>191</v>
      </c>
      <c r="E7" s="225" t="s">
        <v>283</v>
      </c>
      <c r="F7" s="169" t="s">
        <v>192</v>
      </c>
    </row>
    <row r="8" spans="1:15" ht="81">
      <c r="A8" s="170" t="s">
        <v>125</v>
      </c>
      <c r="B8" s="169" t="s">
        <v>255</v>
      </c>
      <c r="C8" s="169" t="s">
        <v>126</v>
      </c>
      <c r="D8" s="225" t="s">
        <v>342</v>
      </c>
      <c r="E8" s="225" t="s">
        <v>343</v>
      </c>
      <c r="F8" s="169" t="s">
        <v>344</v>
      </c>
    </row>
    <row r="9" spans="1:15" ht="175.5">
      <c r="A9" s="170" t="s">
        <v>345</v>
      </c>
      <c r="B9" s="169" t="s">
        <v>346</v>
      </c>
      <c r="C9" s="169" t="s">
        <v>347</v>
      </c>
      <c r="D9" s="225" t="s">
        <v>348</v>
      </c>
      <c r="E9" s="225" t="s">
        <v>349</v>
      </c>
      <c r="F9" s="169" t="s">
        <v>350</v>
      </c>
    </row>
    <row r="10" spans="1:15" ht="108">
      <c r="A10" s="170" t="s">
        <v>351</v>
      </c>
      <c r="B10" s="169" t="s">
        <v>352</v>
      </c>
      <c r="C10" s="169" t="s">
        <v>353</v>
      </c>
      <c r="D10" s="225" t="s">
        <v>354</v>
      </c>
      <c r="E10" s="225" t="s">
        <v>355</v>
      </c>
      <c r="F10" s="169" t="s">
        <v>356</v>
      </c>
    </row>
    <row r="11" spans="1:15" ht="54">
      <c r="A11" s="170" t="s">
        <v>121</v>
      </c>
      <c r="B11" s="169" t="s">
        <v>254</v>
      </c>
      <c r="C11" s="169" t="s">
        <v>122</v>
      </c>
      <c r="D11" s="225" t="s">
        <v>357</v>
      </c>
      <c r="E11" s="225" t="s">
        <v>358</v>
      </c>
      <c r="F11" s="169" t="s">
        <v>289</v>
      </c>
    </row>
    <row r="12" spans="1:15" ht="27">
      <c r="A12" s="170" t="s">
        <v>309</v>
      </c>
      <c r="B12" s="169" t="s">
        <v>359</v>
      </c>
      <c r="C12" s="169" t="s">
        <v>311</v>
      </c>
      <c r="D12" s="225" t="s">
        <v>360</v>
      </c>
      <c r="E12" s="225" t="s">
        <v>361</v>
      </c>
      <c r="F12" s="169" t="s">
        <v>311</v>
      </c>
    </row>
    <row r="13" spans="1:15" ht="40.5">
      <c r="A13" s="170" t="s">
        <v>107</v>
      </c>
      <c r="B13" s="169" t="s">
        <v>245</v>
      </c>
      <c r="C13" s="169" t="s">
        <v>108</v>
      </c>
      <c r="D13" s="225" t="s">
        <v>174</v>
      </c>
      <c r="E13" s="225" t="s">
        <v>276</v>
      </c>
      <c r="F13" s="169" t="s">
        <v>108</v>
      </c>
    </row>
    <row r="14" spans="1:15" ht="67.5">
      <c r="A14" s="170" t="s">
        <v>296</v>
      </c>
      <c r="B14" s="169" t="s">
        <v>362</v>
      </c>
      <c r="C14" s="169" t="s">
        <v>298</v>
      </c>
      <c r="D14" s="225" t="s">
        <v>363</v>
      </c>
      <c r="E14" s="225" t="s">
        <v>364</v>
      </c>
      <c r="F14" s="169" t="s">
        <v>298</v>
      </c>
    </row>
    <row r="15" spans="1:15" ht="94.5">
      <c r="A15" s="170" t="s">
        <v>113</v>
      </c>
      <c r="B15" s="169" t="s">
        <v>249</v>
      </c>
      <c r="C15" s="169" t="s">
        <v>114</v>
      </c>
      <c r="D15" s="225" t="s">
        <v>365</v>
      </c>
      <c r="E15" s="225" t="s">
        <v>366</v>
      </c>
      <c r="F15" s="169" t="s">
        <v>367</v>
      </c>
    </row>
    <row r="16" spans="1:15" ht="121.5">
      <c r="A16" s="170" t="s">
        <v>339</v>
      </c>
      <c r="B16" s="169" t="s">
        <v>340</v>
      </c>
      <c r="C16" s="169" t="s">
        <v>341</v>
      </c>
      <c r="D16" s="225" t="s">
        <v>181</v>
      </c>
      <c r="E16" s="225" t="s">
        <v>279</v>
      </c>
      <c r="F16" s="169" t="s">
        <v>182</v>
      </c>
    </row>
    <row r="17" spans="1:6" ht="94.5">
      <c r="A17" s="170" t="s">
        <v>111</v>
      </c>
      <c r="B17" s="169" t="s">
        <v>248</v>
      </c>
      <c r="C17" s="169" t="s">
        <v>112</v>
      </c>
      <c r="D17" s="225" t="s">
        <v>177</v>
      </c>
      <c r="E17" s="225" t="s">
        <v>277</v>
      </c>
      <c r="F17" s="169" t="s">
        <v>178</v>
      </c>
    </row>
    <row r="18" spans="1:6" ht="81">
      <c r="A18" s="170" t="s">
        <v>135</v>
      </c>
      <c r="B18" s="169" t="s">
        <v>257</v>
      </c>
      <c r="C18" s="169" t="s">
        <v>683</v>
      </c>
      <c r="D18" s="225" t="s">
        <v>368</v>
      </c>
      <c r="E18" s="225" t="s">
        <v>303</v>
      </c>
      <c r="F18" s="169" t="s">
        <v>369</v>
      </c>
    </row>
    <row r="19" spans="1:6" ht="108">
      <c r="A19" s="170" t="s">
        <v>131</v>
      </c>
      <c r="B19" s="169" t="s">
        <v>256</v>
      </c>
      <c r="C19" s="169" t="s">
        <v>132</v>
      </c>
      <c r="D19" s="225" t="s">
        <v>370</v>
      </c>
      <c r="E19" s="225" t="s">
        <v>371</v>
      </c>
      <c r="F19" s="169" t="s">
        <v>687</v>
      </c>
    </row>
    <row r="20" spans="1:6" ht="81">
      <c r="A20" s="170" t="s">
        <v>302</v>
      </c>
      <c r="B20" s="169" t="s">
        <v>303</v>
      </c>
      <c r="C20" s="169" t="s">
        <v>304</v>
      </c>
      <c r="D20" s="225" t="s">
        <v>368</v>
      </c>
      <c r="E20" s="225" t="s">
        <v>303</v>
      </c>
      <c r="F20" s="169" t="s">
        <v>369</v>
      </c>
    </row>
  </sheetData>
  <mergeCells count="3">
    <mergeCell ref="A1:F1"/>
    <mergeCell ref="A2:F2"/>
    <mergeCell ref="A3:F3"/>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8A472-C4D1-422B-9E74-26AED05D2704}">
  <sheetPr codeName="Sheet18">
    <tabColor rgb="FFFF0000"/>
  </sheetPr>
  <dimension ref="A1:N22"/>
  <sheetViews>
    <sheetView topLeftCell="A6" workbookViewId="0">
      <selection activeCell="C15" sqref="C15"/>
    </sheetView>
  </sheetViews>
  <sheetFormatPr defaultColWidth="9.46484375" defaultRowHeight="13.5"/>
  <cols>
    <col min="1" max="1" width="12" style="137" bestFit="1" customWidth="1"/>
    <col min="2" max="2" width="21.46484375" style="137" customWidth="1"/>
    <col min="3" max="3" width="37" style="137" customWidth="1"/>
    <col min="4" max="4" width="12.59765625" style="137" bestFit="1" customWidth="1"/>
    <col min="5" max="5" width="49.46484375" style="137" customWidth="1"/>
    <col min="6" max="6" width="35.59765625" style="137" customWidth="1"/>
    <col min="7" max="7" width="15.53125" style="137" customWidth="1"/>
    <col min="8" max="13" width="9.46484375" style="137"/>
    <col min="14" max="14" width="29.33203125" style="137" customWidth="1"/>
    <col min="15" max="16384" width="9.46484375" style="137"/>
  </cols>
  <sheetData>
    <row r="1" spans="1:14" ht="22.5">
      <c r="A1" s="384" t="s">
        <v>42</v>
      </c>
      <c r="B1" s="384"/>
      <c r="C1" s="384"/>
      <c r="D1" s="384"/>
      <c r="E1" s="384"/>
      <c r="F1" s="234"/>
      <c r="G1" s="234"/>
      <c r="H1" s="234"/>
      <c r="I1" s="234"/>
      <c r="J1" s="234"/>
      <c r="K1" s="234"/>
      <c r="L1" s="234"/>
      <c r="M1" s="234"/>
      <c r="N1" s="234"/>
    </row>
    <row r="2" spans="1:14" ht="46.5" customHeight="1">
      <c r="A2" s="385" t="s">
        <v>403</v>
      </c>
      <c r="B2" s="386"/>
      <c r="C2" s="386"/>
      <c r="D2" s="386"/>
      <c r="E2" s="387"/>
      <c r="F2" s="235"/>
    </row>
    <row r="3" spans="1:14" ht="75.75" customHeight="1">
      <c r="A3" s="388" t="s">
        <v>688</v>
      </c>
      <c r="B3" s="388"/>
      <c r="C3" s="388"/>
      <c r="D3" s="388"/>
      <c r="E3" s="388"/>
      <c r="F3" s="236"/>
      <c r="G3" s="237"/>
      <c r="H3" s="237"/>
      <c r="I3" s="237"/>
      <c r="J3" s="237"/>
      <c r="K3" s="237"/>
      <c r="L3" s="237"/>
      <c r="M3" s="237"/>
      <c r="N3" s="237"/>
    </row>
    <row r="4" spans="1:14" s="147" customFormat="1" ht="15">
      <c r="A4" s="215" t="s">
        <v>137</v>
      </c>
      <c r="B4" s="215" t="s">
        <v>323</v>
      </c>
      <c r="C4" s="215" t="s">
        <v>271</v>
      </c>
      <c r="D4" s="215" t="s">
        <v>43</v>
      </c>
      <c r="E4" s="215" t="s">
        <v>240</v>
      </c>
    </row>
    <row r="5" spans="1:14" s="147" customFormat="1" ht="54">
      <c r="A5" s="208" t="s">
        <v>423</v>
      </c>
      <c r="B5" s="209" t="s">
        <v>424</v>
      </c>
      <c r="C5" s="217" t="s">
        <v>425</v>
      </c>
      <c r="D5" s="210" t="s">
        <v>123</v>
      </c>
      <c r="E5" s="238" t="s">
        <v>124</v>
      </c>
      <c r="F5" s="144"/>
    </row>
    <row r="6" spans="1:14" s="147" customFormat="1" ht="40.5">
      <c r="A6" s="208" t="s">
        <v>426</v>
      </c>
      <c r="B6" s="209" t="s">
        <v>427</v>
      </c>
      <c r="C6" s="217" t="s">
        <v>428</v>
      </c>
      <c r="D6" s="210" t="s">
        <v>167</v>
      </c>
      <c r="E6" s="238" t="s">
        <v>689</v>
      </c>
      <c r="F6" s="144"/>
    </row>
    <row r="7" spans="1:14" s="147" customFormat="1" ht="27">
      <c r="A7" s="365" t="s">
        <v>146</v>
      </c>
      <c r="B7" s="353" t="s">
        <v>260</v>
      </c>
      <c r="C7" s="391" t="s">
        <v>259</v>
      </c>
      <c r="D7" s="210" t="s">
        <v>69</v>
      </c>
      <c r="E7" s="238" t="s">
        <v>690</v>
      </c>
      <c r="F7" s="144"/>
    </row>
    <row r="8" spans="1:14">
      <c r="A8" s="389"/>
      <c r="B8" s="390"/>
      <c r="C8" s="390"/>
      <c r="D8" s="210" t="s">
        <v>71</v>
      </c>
      <c r="E8" s="209" t="s">
        <v>72</v>
      </c>
    </row>
    <row r="9" spans="1:14" ht="27">
      <c r="A9" s="366"/>
      <c r="B9" s="369"/>
      <c r="C9" s="369"/>
      <c r="D9" s="210" t="s">
        <v>102</v>
      </c>
      <c r="E9" s="239" t="s">
        <v>691</v>
      </c>
      <c r="F9" s="144"/>
    </row>
    <row r="10" spans="1:14" ht="129" customHeight="1">
      <c r="A10" s="208" t="s">
        <v>325</v>
      </c>
      <c r="B10" s="209" t="s">
        <v>326</v>
      </c>
      <c r="C10" s="209" t="s">
        <v>327</v>
      </c>
      <c r="D10" s="210" t="s">
        <v>64</v>
      </c>
      <c r="E10" s="209" t="s">
        <v>692</v>
      </c>
      <c r="F10" s="144"/>
    </row>
    <row r="11" spans="1:14" ht="90" customHeight="1">
      <c r="A11" s="365" t="s">
        <v>157</v>
      </c>
      <c r="B11" s="353" t="s">
        <v>258</v>
      </c>
      <c r="C11" s="367" t="s">
        <v>637</v>
      </c>
      <c r="D11" s="210" t="s">
        <v>133</v>
      </c>
      <c r="E11" s="217" t="s">
        <v>693</v>
      </c>
      <c r="F11" s="144"/>
    </row>
    <row r="12" spans="1:14" ht="27">
      <c r="A12" s="366"/>
      <c r="B12" s="369"/>
      <c r="C12" s="383"/>
      <c r="D12" s="210" t="s">
        <v>104</v>
      </c>
      <c r="E12" s="224" t="s">
        <v>694</v>
      </c>
      <c r="F12" s="144"/>
    </row>
    <row r="13" spans="1:14" ht="95.25" customHeight="1">
      <c r="A13" s="208" t="s">
        <v>149</v>
      </c>
      <c r="B13" s="209" t="s">
        <v>266</v>
      </c>
      <c r="C13" s="209" t="s">
        <v>631</v>
      </c>
      <c r="D13" s="210" t="s">
        <v>147</v>
      </c>
      <c r="E13" s="209" t="s">
        <v>148</v>
      </c>
    </row>
    <row r="14" spans="1:14" ht="54">
      <c r="A14" s="208" t="s">
        <v>152</v>
      </c>
      <c r="B14" s="209" t="s">
        <v>265</v>
      </c>
      <c r="C14" s="209" t="s">
        <v>264</v>
      </c>
      <c r="D14" s="210" t="s">
        <v>150</v>
      </c>
      <c r="E14" s="209" t="s">
        <v>695</v>
      </c>
    </row>
    <row r="15" spans="1:14" ht="40.5">
      <c r="A15" s="208" t="s">
        <v>155</v>
      </c>
      <c r="B15" s="209" t="s">
        <v>262</v>
      </c>
      <c r="C15" s="209" t="s">
        <v>156</v>
      </c>
      <c r="D15" s="210" t="s">
        <v>92</v>
      </c>
      <c r="E15" s="209" t="s">
        <v>696</v>
      </c>
    </row>
    <row r="16" spans="1:14" ht="67.5">
      <c r="A16" s="208" t="s">
        <v>140</v>
      </c>
      <c r="B16" s="209" t="s">
        <v>269</v>
      </c>
      <c r="C16" s="209" t="s">
        <v>697</v>
      </c>
      <c r="D16" s="210" t="s">
        <v>372</v>
      </c>
      <c r="E16" s="209" t="s">
        <v>373</v>
      </c>
    </row>
    <row r="17" spans="1:6" ht="54">
      <c r="A17" s="208" t="s">
        <v>407</v>
      </c>
      <c r="B17" s="209" t="s">
        <v>422</v>
      </c>
      <c r="C17" s="209" t="s">
        <v>408</v>
      </c>
      <c r="D17" s="210" t="s">
        <v>393</v>
      </c>
      <c r="E17" s="209" t="s">
        <v>698</v>
      </c>
      <c r="F17" s="144"/>
    </row>
    <row r="18" spans="1:6" ht="54">
      <c r="A18" s="208" t="s">
        <v>153</v>
      </c>
      <c r="B18" s="209" t="s">
        <v>263</v>
      </c>
      <c r="C18" s="209" t="s">
        <v>154</v>
      </c>
      <c r="D18" s="210" t="s">
        <v>119</v>
      </c>
      <c r="E18" s="209" t="s">
        <v>699</v>
      </c>
    </row>
    <row r="19" spans="1:6" ht="54">
      <c r="A19" s="208" t="s">
        <v>138</v>
      </c>
      <c r="B19" s="209" t="s">
        <v>270</v>
      </c>
      <c r="C19" s="209" t="s">
        <v>139</v>
      </c>
      <c r="D19" s="210" t="s">
        <v>45</v>
      </c>
      <c r="E19" s="209" t="s">
        <v>46</v>
      </c>
    </row>
    <row r="20" spans="1:6" ht="54">
      <c r="A20" s="208" t="s">
        <v>142</v>
      </c>
      <c r="B20" s="209" t="s">
        <v>268</v>
      </c>
      <c r="C20" s="209" t="s">
        <v>629</v>
      </c>
      <c r="D20" s="210" t="s">
        <v>59</v>
      </c>
      <c r="E20" s="209" t="s">
        <v>700</v>
      </c>
    </row>
    <row r="21" spans="1:6" ht="81">
      <c r="A21" s="208" t="s">
        <v>404</v>
      </c>
      <c r="B21" s="209" t="s">
        <v>405</v>
      </c>
      <c r="C21" s="209" t="s">
        <v>406</v>
      </c>
      <c r="D21" s="210" t="s">
        <v>123</v>
      </c>
      <c r="E21" s="209" t="s">
        <v>124</v>
      </c>
    </row>
    <row r="22" spans="1:6" ht="67.5">
      <c r="A22" s="208" t="s">
        <v>145</v>
      </c>
      <c r="B22" s="209" t="s">
        <v>267</v>
      </c>
      <c r="C22" s="209" t="s">
        <v>701</v>
      </c>
      <c r="D22" s="210" t="s">
        <v>143</v>
      </c>
      <c r="E22" s="209" t="s">
        <v>144</v>
      </c>
    </row>
  </sheetData>
  <mergeCells count="9">
    <mergeCell ref="A11:A12"/>
    <mergeCell ref="B11:B12"/>
    <mergeCell ref="C11:C12"/>
    <mergeCell ref="A1:E1"/>
    <mergeCell ref="A2:E2"/>
    <mergeCell ref="A3:E3"/>
    <mergeCell ref="A7:A9"/>
    <mergeCell ref="B7:B9"/>
    <mergeCell ref="C7:C9"/>
  </mergeCell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51322-0075-4278-A4C4-719F999096D5}">
  <sheetPr codeName="Sheet19">
    <tabColor rgb="FFFF0000"/>
  </sheetPr>
  <dimension ref="A1:O23"/>
  <sheetViews>
    <sheetView topLeftCell="A10" workbookViewId="0">
      <selection activeCell="F23" sqref="F23"/>
    </sheetView>
  </sheetViews>
  <sheetFormatPr defaultColWidth="9.46484375" defaultRowHeight="13.5"/>
  <cols>
    <col min="1" max="1" width="12" style="137" bestFit="1" customWidth="1"/>
    <col min="2" max="2" width="22.53125" style="137" customWidth="1"/>
    <col min="3" max="3" width="35.06640625" style="137" customWidth="1"/>
    <col min="4" max="4" width="12.59765625" style="137" bestFit="1" customWidth="1"/>
    <col min="5" max="5" width="21.9296875" style="137" customWidth="1"/>
    <col min="6" max="6" width="46.59765625" style="137" customWidth="1"/>
    <col min="7" max="7" width="30.59765625" style="137" customWidth="1"/>
    <col min="8" max="8" width="17" style="137" customWidth="1"/>
    <col min="9" max="14" width="9.46484375" style="137"/>
    <col min="15" max="15" width="29.33203125" style="137" customWidth="1"/>
    <col min="16" max="16384" width="9.46484375" style="137"/>
  </cols>
  <sheetData>
    <row r="1" spans="1:15" ht="22.5">
      <c r="A1" s="384" t="s">
        <v>42</v>
      </c>
      <c r="B1" s="384"/>
      <c r="C1" s="384"/>
      <c r="D1" s="384"/>
      <c r="E1" s="384"/>
      <c r="F1" s="384"/>
      <c r="G1" s="234"/>
      <c r="H1" s="234"/>
      <c r="I1" s="234"/>
      <c r="J1" s="234"/>
      <c r="K1" s="234"/>
      <c r="L1" s="234"/>
      <c r="M1" s="234"/>
      <c r="N1" s="234"/>
      <c r="O1" s="234"/>
    </row>
    <row r="2" spans="1:15" ht="57" customHeight="1">
      <c r="A2" s="392" t="s">
        <v>403</v>
      </c>
      <c r="B2" s="393"/>
      <c r="C2" s="393"/>
      <c r="D2" s="393"/>
      <c r="E2" s="393"/>
      <c r="F2" s="394"/>
      <c r="G2" s="152"/>
    </row>
    <row r="3" spans="1:15" ht="72" customHeight="1">
      <c r="A3" s="395" t="s">
        <v>702</v>
      </c>
      <c r="B3" s="396"/>
      <c r="C3" s="396"/>
      <c r="D3" s="396"/>
      <c r="E3" s="396"/>
      <c r="F3" s="397"/>
      <c r="G3" s="240"/>
      <c r="H3" s="153"/>
      <c r="I3" s="153"/>
      <c r="J3" s="153"/>
      <c r="K3" s="153"/>
      <c r="L3" s="153"/>
      <c r="M3" s="153"/>
      <c r="N3" s="153"/>
      <c r="O3" s="153"/>
    </row>
    <row r="4" spans="1:15" s="147" customFormat="1" ht="15">
      <c r="A4" s="215" t="s">
        <v>137</v>
      </c>
      <c r="B4" s="215" t="s">
        <v>323</v>
      </c>
      <c r="C4" s="215" t="s">
        <v>271</v>
      </c>
      <c r="D4" s="215" t="s">
        <v>44</v>
      </c>
      <c r="E4" s="215" t="s">
        <v>239</v>
      </c>
      <c r="F4" s="215" t="s">
        <v>286</v>
      </c>
    </row>
    <row r="5" spans="1:15" s="147" customFormat="1" ht="67.5">
      <c r="A5" s="365" t="s">
        <v>146</v>
      </c>
      <c r="B5" s="353" t="s">
        <v>260</v>
      </c>
      <c r="C5" s="353" t="s">
        <v>259</v>
      </c>
      <c r="D5" s="210" t="s">
        <v>47</v>
      </c>
      <c r="E5" s="228" t="s">
        <v>222</v>
      </c>
      <c r="F5" s="209" t="s">
        <v>48</v>
      </c>
      <c r="G5" s="241"/>
    </row>
    <row r="6" spans="1:15" ht="40.5">
      <c r="A6" s="389"/>
      <c r="B6" s="390"/>
      <c r="C6" s="390"/>
      <c r="D6" s="210" t="s">
        <v>73</v>
      </c>
      <c r="E6" s="228" t="s">
        <v>232</v>
      </c>
      <c r="F6" s="209" t="s">
        <v>618</v>
      </c>
    </row>
    <row r="7" spans="1:15" ht="40.5">
      <c r="A7" s="366"/>
      <c r="B7" s="369"/>
      <c r="C7" s="369"/>
      <c r="D7" s="210" t="s">
        <v>305</v>
      </c>
      <c r="E7" s="228" t="s">
        <v>703</v>
      </c>
      <c r="F7" s="209" t="s">
        <v>704</v>
      </c>
      <c r="G7" s="241"/>
    </row>
    <row r="8" spans="1:15" ht="81">
      <c r="A8" s="242" t="s">
        <v>325</v>
      </c>
      <c r="B8" s="243" t="s">
        <v>326</v>
      </c>
      <c r="C8" s="243" t="s">
        <v>327</v>
      </c>
      <c r="D8" s="210" t="s">
        <v>66</v>
      </c>
      <c r="E8" s="228" t="s">
        <v>290</v>
      </c>
      <c r="F8" s="209" t="s">
        <v>67</v>
      </c>
      <c r="G8" s="241"/>
    </row>
    <row r="9" spans="1:15" ht="94.5">
      <c r="A9" s="208" t="s">
        <v>331</v>
      </c>
      <c r="B9" s="209" t="s">
        <v>332</v>
      </c>
      <c r="C9" s="209" t="s">
        <v>666</v>
      </c>
      <c r="D9" s="210" t="s">
        <v>328</v>
      </c>
      <c r="E9" s="228" t="s">
        <v>329</v>
      </c>
      <c r="F9" s="209" t="s">
        <v>330</v>
      </c>
      <c r="G9" s="241"/>
    </row>
    <row r="10" spans="1:15" ht="40.5">
      <c r="A10" s="208" t="s">
        <v>155</v>
      </c>
      <c r="B10" s="209" t="s">
        <v>262</v>
      </c>
      <c r="C10" s="209" t="s">
        <v>156</v>
      </c>
      <c r="D10" s="210" t="s">
        <v>90</v>
      </c>
      <c r="E10" s="228" t="s">
        <v>225</v>
      </c>
      <c r="F10" s="209" t="s">
        <v>91</v>
      </c>
      <c r="G10" s="241"/>
    </row>
    <row r="11" spans="1:15" ht="81">
      <c r="A11" s="208" t="s">
        <v>140</v>
      </c>
      <c r="B11" s="209" t="s">
        <v>269</v>
      </c>
      <c r="C11" s="209" t="s">
        <v>697</v>
      </c>
      <c r="D11" s="210" t="s">
        <v>293</v>
      </c>
      <c r="E11" s="228" t="s">
        <v>464</v>
      </c>
      <c r="F11" s="209" t="s">
        <v>295</v>
      </c>
      <c r="G11" s="241"/>
    </row>
    <row r="12" spans="1:15" ht="67.5">
      <c r="A12" s="208" t="s">
        <v>153</v>
      </c>
      <c r="B12" s="209" t="s">
        <v>263</v>
      </c>
      <c r="C12" s="209" t="s">
        <v>154</v>
      </c>
      <c r="D12" s="210" t="s">
        <v>61</v>
      </c>
      <c r="E12" s="228" t="s">
        <v>654</v>
      </c>
      <c r="F12" s="209" t="s">
        <v>62</v>
      </c>
      <c r="G12" s="241"/>
    </row>
    <row r="13" spans="1:15" ht="81">
      <c r="A13" s="208" t="s">
        <v>462</v>
      </c>
      <c r="B13" s="209" t="s">
        <v>463</v>
      </c>
      <c r="C13" s="209" t="s">
        <v>670</v>
      </c>
      <c r="D13" s="210" t="s">
        <v>63</v>
      </c>
      <c r="E13" s="228" t="s">
        <v>234</v>
      </c>
      <c r="F13" s="209" t="s">
        <v>669</v>
      </c>
      <c r="G13" s="241"/>
    </row>
    <row r="14" spans="1:15" ht="67.5">
      <c r="A14" s="208" t="s">
        <v>138</v>
      </c>
      <c r="B14" s="209" t="s">
        <v>270</v>
      </c>
      <c r="C14" s="209" t="s">
        <v>139</v>
      </c>
      <c r="D14" s="210" t="s">
        <v>47</v>
      </c>
      <c r="E14" s="228" t="s">
        <v>222</v>
      </c>
      <c r="F14" s="209" t="s">
        <v>48</v>
      </c>
    </row>
    <row r="15" spans="1:15" ht="81">
      <c r="A15" s="208" t="s">
        <v>142</v>
      </c>
      <c r="B15" s="209" t="s">
        <v>268</v>
      </c>
      <c r="C15" s="209" t="s">
        <v>629</v>
      </c>
      <c r="D15" s="210" t="s">
        <v>63</v>
      </c>
      <c r="E15" s="228" t="s">
        <v>234</v>
      </c>
      <c r="F15" s="209" t="s">
        <v>669</v>
      </c>
      <c r="G15" s="144"/>
    </row>
    <row r="16" spans="1:15">
      <c r="B16" s="202"/>
      <c r="C16" s="202"/>
      <c r="F16" s="244"/>
    </row>
    <row r="17" spans="2:6">
      <c r="B17" s="202"/>
      <c r="C17" s="202"/>
      <c r="F17" s="244"/>
    </row>
    <row r="18" spans="2:6">
      <c r="B18" s="202"/>
      <c r="C18" s="202"/>
      <c r="F18" s="244"/>
    </row>
    <row r="19" spans="2:6">
      <c r="B19" s="202"/>
      <c r="C19" s="202"/>
      <c r="F19" s="244"/>
    </row>
    <row r="20" spans="2:6">
      <c r="B20" s="202"/>
      <c r="C20" s="202"/>
      <c r="F20" s="244"/>
    </row>
    <row r="21" spans="2:6">
      <c r="B21" s="202"/>
      <c r="C21" s="202"/>
      <c r="F21" s="244"/>
    </row>
    <row r="22" spans="2:6">
      <c r="B22" s="202"/>
      <c r="C22" s="202"/>
      <c r="F22" s="202"/>
    </row>
    <row r="23" spans="2:6">
      <c r="B23" s="202"/>
      <c r="C23" s="202"/>
      <c r="F23" s="244"/>
    </row>
  </sheetData>
  <mergeCells count="6">
    <mergeCell ref="A1:F1"/>
    <mergeCell ref="A2:F2"/>
    <mergeCell ref="A3:F3"/>
    <mergeCell ref="A5:A7"/>
    <mergeCell ref="B5:B7"/>
    <mergeCell ref="C5:C7"/>
  </mergeCell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3B148-5612-4E9E-8420-DD016AB09C14}">
  <sheetPr codeName="Sheet20">
    <tabColor rgb="FFFF0000"/>
  </sheetPr>
  <dimension ref="A1:O17"/>
  <sheetViews>
    <sheetView topLeftCell="A10" workbookViewId="0">
      <selection activeCell="C10" sqref="C10"/>
    </sheetView>
  </sheetViews>
  <sheetFormatPr defaultColWidth="9.46484375" defaultRowHeight="13.5"/>
  <cols>
    <col min="1" max="1" width="12" style="137" bestFit="1" customWidth="1"/>
    <col min="2" max="2" width="19.46484375" style="137" customWidth="1"/>
    <col min="3" max="3" width="35.06640625" style="137" customWidth="1"/>
    <col min="4" max="4" width="12.59765625" style="137" bestFit="1" customWidth="1"/>
    <col min="5" max="5" width="18" style="137" customWidth="1"/>
    <col min="6" max="6" width="55.46484375" style="137" customWidth="1"/>
    <col min="7" max="7" width="29.06640625" style="137" customWidth="1"/>
    <col min="8" max="8" width="15.9296875" style="137" customWidth="1"/>
    <col min="9" max="14" width="9.46484375" style="137"/>
    <col min="15" max="15" width="29.33203125" style="137" customWidth="1"/>
    <col min="16" max="16384" width="9.46484375" style="137"/>
  </cols>
  <sheetData>
    <row r="1" spans="1:15" s="134" customFormat="1" ht="22.5">
      <c r="A1" s="398" t="s">
        <v>42</v>
      </c>
      <c r="B1" s="398"/>
      <c r="C1" s="398"/>
      <c r="D1" s="398"/>
      <c r="E1" s="398"/>
      <c r="F1" s="398"/>
      <c r="G1" s="245"/>
      <c r="H1" s="245"/>
      <c r="I1" s="245"/>
      <c r="J1" s="245"/>
      <c r="K1" s="245"/>
      <c r="L1" s="245"/>
      <c r="M1" s="245"/>
      <c r="N1" s="245"/>
      <c r="O1" s="245"/>
    </row>
    <row r="2" spans="1:15" ht="57.75" customHeight="1">
      <c r="A2" s="399" t="s">
        <v>403</v>
      </c>
      <c r="B2" s="400"/>
      <c r="C2" s="400"/>
      <c r="D2" s="400"/>
      <c r="E2" s="400"/>
      <c r="F2" s="401"/>
      <c r="G2" s="152"/>
    </row>
    <row r="3" spans="1:15" ht="78" customHeight="1">
      <c r="A3" s="402" t="s">
        <v>705</v>
      </c>
      <c r="B3" s="403"/>
      <c r="C3" s="403"/>
      <c r="D3" s="403"/>
      <c r="E3" s="403"/>
      <c r="F3" s="404"/>
      <c r="G3" s="240"/>
      <c r="H3" s="153"/>
      <c r="I3" s="153"/>
      <c r="J3" s="153"/>
      <c r="K3" s="153"/>
      <c r="L3" s="153"/>
      <c r="M3" s="153"/>
      <c r="N3" s="153"/>
      <c r="O3" s="153"/>
    </row>
    <row r="4" spans="1:15" s="139" customFormat="1" ht="15">
      <c r="A4" s="227" t="s">
        <v>137</v>
      </c>
      <c r="B4" s="227" t="s">
        <v>323</v>
      </c>
      <c r="C4" s="227" t="s">
        <v>271</v>
      </c>
      <c r="D4" s="227" t="s">
        <v>287</v>
      </c>
      <c r="E4" s="227" t="s">
        <v>243</v>
      </c>
      <c r="F4" s="227" t="s">
        <v>337</v>
      </c>
    </row>
    <row r="5" spans="1:15" ht="67.5">
      <c r="A5" s="334" t="s">
        <v>146</v>
      </c>
      <c r="B5" s="322" t="s">
        <v>260</v>
      </c>
      <c r="C5" s="322" t="s">
        <v>259</v>
      </c>
      <c r="D5" s="168" t="s">
        <v>115</v>
      </c>
      <c r="E5" s="225" t="s">
        <v>250</v>
      </c>
      <c r="F5" s="169" t="s">
        <v>116</v>
      </c>
      <c r="G5" s="144"/>
    </row>
    <row r="6" spans="1:15" ht="121.5">
      <c r="A6" s="335"/>
      <c r="B6" s="323"/>
      <c r="C6" s="323"/>
      <c r="D6" s="168" t="s">
        <v>339</v>
      </c>
      <c r="E6" s="225" t="s">
        <v>340</v>
      </c>
      <c r="F6" s="169" t="s">
        <v>341</v>
      </c>
    </row>
    <row r="7" spans="1:15" ht="94.5">
      <c r="A7" s="246" t="s">
        <v>325</v>
      </c>
      <c r="B7" s="247" t="s">
        <v>326</v>
      </c>
      <c r="C7" s="247" t="s">
        <v>327</v>
      </c>
      <c r="D7" s="168" t="s">
        <v>111</v>
      </c>
      <c r="E7" s="225" t="s">
        <v>248</v>
      </c>
      <c r="F7" s="169" t="s">
        <v>112</v>
      </c>
      <c r="G7" s="144"/>
    </row>
    <row r="8" spans="1:15" ht="54">
      <c r="A8" s="334" t="s">
        <v>157</v>
      </c>
      <c r="B8" s="322" t="s">
        <v>258</v>
      </c>
      <c r="C8" s="322" t="s">
        <v>637</v>
      </c>
      <c r="D8" s="168" t="s">
        <v>135</v>
      </c>
      <c r="E8" s="225" t="s">
        <v>257</v>
      </c>
      <c r="F8" s="169" t="s">
        <v>683</v>
      </c>
    </row>
    <row r="9" spans="1:15" ht="40.5">
      <c r="A9" s="335"/>
      <c r="B9" s="323"/>
      <c r="C9" s="323"/>
      <c r="D9" s="168" t="s">
        <v>302</v>
      </c>
      <c r="E9" s="225" t="s">
        <v>303</v>
      </c>
      <c r="F9" s="169" t="s">
        <v>304</v>
      </c>
      <c r="G9" s="144"/>
    </row>
    <row r="10" spans="1:15" ht="54">
      <c r="A10" s="170" t="s">
        <v>155</v>
      </c>
      <c r="B10" s="169" t="s">
        <v>262</v>
      </c>
      <c r="C10" s="169" t="s">
        <v>156</v>
      </c>
      <c r="D10" s="168" t="s">
        <v>121</v>
      </c>
      <c r="E10" s="225" t="s">
        <v>254</v>
      </c>
      <c r="F10" s="169" t="s">
        <v>289</v>
      </c>
    </row>
    <row r="11" spans="1:15" ht="67.5">
      <c r="A11" s="170" t="s">
        <v>140</v>
      </c>
      <c r="B11" s="169" t="s">
        <v>269</v>
      </c>
      <c r="C11" s="169" t="s">
        <v>697</v>
      </c>
      <c r="D11" s="168" t="s">
        <v>107</v>
      </c>
      <c r="E11" s="225" t="s">
        <v>245</v>
      </c>
      <c r="F11" s="169" t="s">
        <v>108</v>
      </c>
    </row>
    <row r="12" spans="1:15" ht="67.5">
      <c r="A12" s="170" t="s">
        <v>153</v>
      </c>
      <c r="B12" s="169" t="s">
        <v>263</v>
      </c>
      <c r="C12" s="169" t="s">
        <v>154</v>
      </c>
      <c r="D12" s="168" t="s">
        <v>109</v>
      </c>
      <c r="E12" s="225" t="s">
        <v>246</v>
      </c>
      <c r="F12" s="169" t="s">
        <v>110</v>
      </c>
      <c r="G12" s="144"/>
    </row>
    <row r="13" spans="1:15" ht="175.5">
      <c r="A13" s="170" t="s">
        <v>477</v>
      </c>
      <c r="B13" s="169" t="s">
        <v>478</v>
      </c>
      <c r="C13" s="169" t="s">
        <v>479</v>
      </c>
      <c r="D13" s="168" t="s">
        <v>345</v>
      </c>
      <c r="E13" s="225" t="s">
        <v>346</v>
      </c>
      <c r="F13" s="169" t="s">
        <v>347</v>
      </c>
      <c r="G13" s="144"/>
    </row>
    <row r="14" spans="1:15">
      <c r="B14" s="202"/>
      <c r="C14" s="202"/>
      <c r="F14" s="244"/>
    </row>
    <row r="15" spans="1:15">
      <c r="B15" s="202"/>
      <c r="C15" s="202"/>
      <c r="F15" s="244"/>
    </row>
    <row r="16" spans="1:15">
      <c r="B16" s="202"/>
      <c r="C16" s="202"/>
      <c r="F16" s="202"/>
    </row>
    <row r="17" spans="2:6">
      <c r="B17" s="202"/>
      <c r="C17" s="202"/>
      <c r="F17" s="244"/>
    </row>
  </sheetData>
  <mergeCells count="9">
    <mergeCell ref="A8:A9"/>
    <mergeCell ref="B8:B9"/>
    <mergeCell ref="C8:C9"/>
    <mergeCell ref="A1:F1"/>
    <mergeCell ref="A2:F2"/>
    <mergeCell ref="A3:F3"/>
    <mergeCell ref="A5:A6"/>
    <mergeCell ref="B5:B6"/>
    <mergeCell ref="C5:C6"/>
  </mergeCell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F49B1-3D7C-4504-8ED3-74613A9A1387}">
  <sheetPr codeName="Sheet21">
    <tabColor rgb="FFFF0000"/>
  </sheetPr>
  <dimension ref="A1:N16"/>
  <sheetViews>
    <sheetView topLeftCell="A4" workbookViewId="0">
      <selection activeCell="C8" sqref="C8"/>
    </sheetView>
  </sheetViews>
  <sheetFormatPr defaultColWidth="9.46484375" defaultRowHeight="13.5"/>
  <cols>
    <col min="1" max="1" width="12" style="137" bestFit="1" customWidth="1"/>
    <col min="2" max="2" width="18.46484375" style="137" customWidth="1"/>
    <col min="3" max="3" width="44" style="137" customWidth="1"/>
    <col min="4" max="4" width="12.59765625" style="137" bestFit="1" customWidth="1"/>
    <col min="5" max="5" width="57.59765625" style="137" customWidth="1"/>
    <col min="6" max="6" width="29.33203125" style="137" customWidth="1"/>
    <col min="7" max="7" width="16.33203125" style="137" customWidth="1"/>
    <col min="8" max="13" width="9.46484375" style="137"/>
    <col min="14" max="14" width="29.33203125" style="137" customWidth="1"/>
    <col min="15" max="16384" width="9.46484375" style="137"/>
  </cols>
  <sheetData>
    <row r="1" spans="1:14" s="134" customFormat="1" ht="22.5">
      <c r="A1" s="398" t="s">
        <v>42</v>
      </c>
      <c r="B1" s="398"/>
      <c r="C1" s="398"/>
      <c r="D1" s="398"/>
      <c r="E1" s="398"/>
      <c r="F1" s="245"/>
      <c r="G1" s="245"/>
      <c r="H1" s="245"/>
      <c r="I1" s="245"/>
      <c r="J1" s="245"/>
      <c r="K1" s="245"/>
      <c r="L1" s="245"/>
      <c r="M1" s="245"/>
      <c r="N1" s="245"/>
    </row>
    <row r="2" spans="1:14" ht="51" customHeight="1">
      <c r="A2" s="405" t="s">
        <v>480</v>
      </c>
      <c r="B2" s="405"/>
      <c r="C2" s="405"/>
      <c r="D2" s="405"/>
      <c r="E2" s="405"/>
      <c r="F2" s="248"/>
    </row>
    <row r="3" spans="1:14" ht="66" customHeight="1">
      <c r="A3" s="406" t="s">
        <v>706</v>
      </c>
      <c r="B3" s="407"/>
      <c r="C3" s="407"/>
      <c r="D3" s="407"/>
      <c r="E3" s="408"/>
      <c r="F3" s="236"/>
      <c r="G3" s="237"/>
      <c r="H3" s="237"/>
      <c r="I3" s="237"/>
      <c r="J3" s="237"/>
      <c r="K3" s="237"/>
      <c r="L3" s="237"/>
      <c r="M3" s="237"/>
      <c r="N3" s="237"/>
    </row>
    <row r="4" spans="1:14" s="147" customFormat="1" ht="30">
      <c r="A4" s="215" t="s">
        <v>137</v>
      </c>
      <c r="B4" s="215" t="s">
        <v>323</v>
      </c>
      <c r="C4" s="215" t="s">
        <v>271</v>
      </c>
      <c r="D4" s="215" t="s">
        <v>334</v>
      </c>
      <c r="E4" s="215" t="s">
        <v>335</v>
      </c>
    </row>
    <row r="5" spans="1:14" s="147" customFormat="1" ht="54">
      <c r="A5" s="246" t="s">
        <v>140</v>
      </c>
      <c r="B5" s="249" t="s">
        <v>269</v>
      </c>
      <c r="C5" s="169" t="s">
        <v>697</v>
      </c>
      <c r="D5" s="250" t="s">
        <v>377</v>
      </c>
      <c r="E5" s="169" t="s">
        <v>707</v>
      </c>
      <c r="F5" s="241"/>
    </row>
    <row r="6" spans="1:14" ht="67.5">
      <c r="A6" s="246" t="s">
        <v>404</v>
      </c>
      <c r="B6" s="249" t="s">
        <v>405</v>
      </c>
      <c r="C6" s="169" t="s">
        <v>635</v>
      </c>
      <c r="D6" s="250" t="s">
        <v>169</v>
      </c>
      <c r="E6" s="247" t="s">
        <v>640</v>
      </c>
    </row>
    <row r="7" spans="1:14" ht="54">
      <c r="A7" s="251" t="s">
        <v>398</v>
      </c>
      <c r="B7" s="252" t="s">
        <v>399</v>
      </c>
      <c r="C7" s="169" t="s">
        <v>708</v>
      </c>
      <c r="D7" s="253" t="s">
        <v>401</v>
      </c>
      <c r="E7" s="254" t="s">
        <v>709</v>
      </c>
    </row>
    <row r="8" spans="1:14">
      <c r="C8" s="202"/>
      <c r="E8" s="202"/>
    </row>
    <row r="9" spans="1:14">
      <c r="C9" s="202"/>
      <c r="E9" s="202"/>
    </row>
    <row r="10" spans="1:14">
      <c r="C10" s="202"/>
      <c r="E10" s="202"/>
    </row>
    <row r="11" spans="1:14">
      <c r="C11" s="202"/>
      <c r="E11" s="244"/>
    </row>
    <row r="12" spans="1:14">
      <c r="C12" s="202"/>
      <c r="E12" s="244"/>
    </row>
    <row r="13" spans="1:14">
      <c r="C13" s="202"/>
      <c r="E13" s="244"/>
    </row>
    <row r="14" spans="1:14">
      <c r="C14" s="202"/>
      <c r="E14" s="244"/>
    </row>
    <row r="15" spans="1:14">
      <c r="C15" s="202"/>
      <c r="E15" s="202"/>
    </row>
    <row r="16" spans="1:14">
      <c r="C16" s="202"/>
      <c r="E16" s="244"/>
    </row>
  </sheetData>
  <mergeCells count="3">
    <mergeCell ref="A1:E1"/>
    <mergeCell ref="A2:E2"/>
    <mergeCell ref="A3:E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863FA-3BC2-4D74-8DAA-41E763700569}">
  <sheetPr codeName="Sheet22">
    <tabColor rgb="FFFF0000"/>
  </sheetPr>
  <dimension ref="A1:O16"/>
  <sheetViews>
    <sheetView topLeftCell="A9" workbookViewId="0">
      <selection activeCell="C9" sqref="C9"/>
    </sheetView>
  </sheetViews>
  <sheetFormatPr defaultColWidth="9.46484375" defaultRowHeight="13.5"/>
  <cols>
    <col min="1" max="1" width="12" style="137" bestFit="1" customWidth="1"/>
    <col min="2" max="2" width="19.59765625" style="137" customWidth="1"/>
    <col min="3" max="3" width="36.53125" style="137" customWidth="1"/>
    <col min="4" max="4" width="12.59765625" style="137" bestFit="1" customWidth="1"/>
    <col min="5" max="5" width="19.46484375" style="137" customWidth="1"/>
    <col min="6" max="6" width="54.59765625" style="137" customWidth="1"/>
    <col min="7" max="7" width="26.33203125" style="137" customWidth="1"/>
    <col min="8" max="8" width="15.46484375" style="137" customWidth="1"/>
    <col min="9" max="14" width="9.46484375" style="137"/>
    <col min="15" max="15" width="29.33203125" style="137" customWidth="1"/>
    <col min="16" max="16384" width="9.46484375" style="137"/>
  </cols>
  <sheetData>
    <row r="1" spans="1:15" ht="22.5">
      <c r="A1" s="384" t="s">
        <v>42</v>
      </c>
      <c r="B1" s="384"/>
      <c r="C1" s="384"/>
      <c r="D1" s="384"/>
      <c r="E1" s="384"/>
      <c r="F1" s="384"/>
      <c r="G1" s="234"/>
      <c r="H1" s="234"/>
      <c r="I1" s="234"/>
      <c r="J1" s="234"/>
      <c r="K1" s="234"/>
      <c r="L1" s="234"/>
      <c r="M1" s="234"/>
      <c r="N1" s="234"/>
      <c r="O1" s="234"/>
    </row>
    <row r="2" spans="1:15" ht="51" customHeight="1">
      <c r="A2" s="409" t="s">
        <v>403</v>
      </c>
      <c r="B2" s="409"/>
      <c r="C2" s="409"/>
      <c r="D2" s="409"/>
      <c r="E2" s="409"/>
      <c r="F2" s="409"/>
      <c r="G2" s="248"/>
    </row>
    <row r="3" spans="1:15" ht="61.5" customHeight="1">
      <c r="A3" s="410" t="s">
        <v>710</v>
      </c>
      <c r="B3" s="410"/>
      <c r="C3" s="410"/>
      <c r="D3" s="410"/>
      <c r="E3" s="410"/>
      <c r="F3" s="410"/>
      <c r="G3" s="236"/>
      <c r="H3" s="237"/>
      <c r="I3" s="237"/>
      <c r="J3" s="237"/>
      <c r="K3" s="237"/>
      <c r="L3" s="237"/>
      <c r="M3" s="237"/>
      <c r="N3" s="237"/>
      <c r="O3" s="237"/>
    </row>
    <row r="4" spans="1:15" s="147" customFormat="1" ht="30">
      <c r="A4" s="215" t="s">
        <v>137</v>
      </c>
      <c r="B4" s="215" t="s">
        <v>323</v>
      </c>
      <c r="C4" s="215" t="s">
        <v>271</v>
      </c>
      <c r="D4" s="215" t="s">
        <v>312</v>
      </c>
      <c r="E4" s="215" t="s">
        <v>274</v>
      </c>
      <c r="F4" s="215" t="s">
        <v>313</v>
      </c>
    </row>
    <row r="5" spans="1:15" ht="54">
      <c r="A5" s="170" t="s">
        <v>146</v>
      </c>
      <c r="B5" s="169" t="s">
        <v>260</v>
      </c>
      <c r="C5" s="169" t="s">
        <v>259</v>
      </c>
      <c r="D5" s="168" t="s">
        <v>181</v>
      </c>
      <c r="E5" s="225" t="s">
        <v>279</v>
      </c>
      <c r="F5" s="169" t="s">
        <v>182</v>
      </c>
    </row>
    <row r="6" spans="1:15" ht="67.5">
      <c r="A6" s="170" t="s">
        <v>157</v>
      </c>
      <c r="B6" s="169" t="s">
        <v>258</v>
      </c>
      <c r="C6" s="169" t="s">
        <v>637</v>
      </c>
      <c r="D6" s="168" t="s">
        <v>368</v>
      </c>
      <c r="E6" s="225" t="s">
        <v>303</v>
      </c>
      <c r="F6" s="169" t="s">
        <v>369</v>
      </c>
    </row>
    <row r="7" spans="1:15" ht="94.5">
      <c r="A7" s="170" t="s">
        <v>149</v>
      </c>
      <c r="B7" s="169" t="s">
        <v>266</v>
      </c>
      <c r="C7" s="169" t="s">
        <v>631</v>
      </c>
      <c r="D7" s="168" t="s">
        <v>187</v>
      </c>
      <c r="E7" s="225" t="s">
        <v>281</v>
      </c>
      <c r="F7" s="169" t="s">
        <v>188</v>
      </c>
    </row>
    <row r="8" spans="1:15" ht="54">
      <c r="A8" s="170" t="s">
        <v>152</v>
      </c>
      <c r="B8" s="169" t="s">
        <v>265</v>
      </c>
      <c r="C8" s="169" t="s">
        <v>264</v>
      </c>
      <c r="D8" s="168" t="s">
        <v>189</v>
      </c>
      <c r="E8" s="225" t="s">
        <v>282</v>
      </c>
      <c r="F8" s="169" t="s">
        <v>190</v>
      </c>
    </row>
    <row r="9" spans="1:15" ht="54">
      <c r="A9" s="170" t="s">
        <v>155</v>
      </c>
      <c r="B9" s="169" t="s">
        <v>262</v>
      </c>
      <c r="C9" s="169" t="s">
        <v>156</v>
      </c>
      <c r="D9" s="168" t="s">
        <v>357</v>
      </c>
      <c r="E9" s="225" t="s">
        <v>358</v>
      </c>
      <c r="F9" s="169" t="s">
        <v>289</v>
      </c>
    </row>
    <row r="10" spans="1:15" ht="67.5">
      <c r="A10" s="170" t="s">
        <v>140</v>
      </c>
      <c r="B10" s="169" t="s">
        <v>269</v>
      </c>
      <c r="C10" s="169" t="s">
        <v>697</v>
      </c>
      <c r="D10" s="168" t="s">
        <v>174</v>
      </c>
      <c r="E10" s="225" t="s">
        <v>276</v>
      </c>
      <c r="F10" s="169" t="s">
        <v>108</v>
      </c>
    </row>
    <row r="11" spans="1:15" ht="81">
      <c r="A11" s="170" t="s">
        <v>153</v>
      </c>
      <c r="B11" s="169" t="s">
        <v>263</v>
      </c>
      <c r="C11" s="169" t="s">
        <v>154</v>
      </c>
      <c r="D11" s="168" t="s">
        <v>191</v>
      </c>
      <c r="E11" s="225" t="s">
        <v>283</v>
      </c>
      <c r="F11" s="169" t="s">
        <v>192</v>
      </c>
    </row>
    <row r="12" spans="1:15" ht="81">
      <c r="A12" s="170" t="s">
        <v>142</v>
      </c>
      <c r="B12" s="169" t="s">
        <v>268</v>
      </c>
      <c r="C12" s="169" t="s">
        <v>629</v>
      </c>
      <c r="D12" s="168" t="s">
        <v>179</v>
      </c>
      <c r="E12" s="225" t="s">
        <v>278</v>
      </c>
      <c r="F12" s="169" t="s">
        <v>180</v>
      </c>
    </row>
    <row r="13" spans="1:15" ht="40.5">
      <c r="A13" s="334" t="s">
        <v>404</v>
      </c>
      <c r="B13" s="322" t="s">
        <v>405</v>
      </c>
      <c r="C13" s="322" t="s">
        <v>635</v>
      </c>
      <c r="D13" s="168" t="s">
        <v>395</v>
      </c>
      <c r="E13" s="225" t="s">
        <v>396</v>
      </c>
      <c r="F13" s="169" t="s">
        <v>397</v>
      </c>
    </row>
    <row r="14" spans="1:15" ht="162">
      <c r="A14" s="335"/>
      <c r="B14" s="323"/>
      <c r="C14" s="323"/>
      <c r="D14" s="168" t="s">
        <v>481</v>
      </c>
      <c r="E14" s="225" t="s">
        <v>482</v>
      </c>
      <c r="F14" s="169" t="s">
        <v>483</v>
      </c>
    </row>
    <row r="15" spans="1:15" ht="54">
      <c r="A15" s="170" t="s">
        <v>398</v>
      </c>
      <c r="B15" s="169" t="s">
        <v>399</v>
      </c>
      <c r="C15" s="169" t="s">
        <v>400</v>
      </c>
      <c r="D15" s="168" t="s">
        <v>395</v>
      </c>
      <c r="E15" s="225" t="s">
        <v>396</v>
      </c>
      <c r="F15" s="169" t="s">
        <v>397</v>
      </c>
    </row>
    <row r="16" spans="1:15">
      <c r="B16" s="202"/>
      <c r="C16" s="202"/>
      <c r="F16" s="244"/>
    </row>
  </sheetData>
  <mergeCells count="6">
    <mergeCell ref="A1:F1"/>
    <mergeCell ref="A2:F2"/>
    <mergeCell ref="A3:F3"/>
    <mergeCell ref="A13:A14"/>
    <mergeCell ref="B13:B14"/>
    <mergeCell ref="C13:C14"/>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631F5-6EAB-451F-9641-06BDF31256F2}">
  <sheetPr codeName="Sheet23">
    <tabColor rgb="FFFF0000"/>
  </sheetPr>
  <dimension ref="A1:M9"/>
  <sheetViews>
    <sheetView workbookViewId="0">
      <selection activeCell="D8" sqref="D8"/>
    </sheetView>
  </sheetViews>
  <sheetFormatPr defaultColWidth="9.46484375" defaultRowHeight="13.5"/>
  <cols>
    <col min="1" max="1" width="12" style="137" bestFit="1" customWidth="1"/>
    <col min="2" max="2" width="36.9296875" style="137" customWidth="1"/>
    <col min="3" max="3" width="12.59765625" style="137" bestFit="1" customWidth="1"/>
    <col min="4" max="4" width="63.9296875" style="137" customWidth="1"/>
    <col min="5" max="5" width="31.59765625" style="137" customWidth="1"/>
    <col min="6" max="6" width="16.06640625" style="137" customWidth="1"/>
    <col min="7" max="12" width="9.46484375" style="137"/>
    <col min="13" max="13" width="29.33203125" style="137" customWidth="1"/>
    <col min="14" max="16384" width="9.46484375" style="137"/>
  </cols>
  <sheetData>
    <row r="1" spans="1:13" ht="22.5">
      <c r="A1" s="411" t="s">
        <v>42</v>
      </c>
      <c r="B1" s="411"/>
      <c r="C1" s="411"/>
      <c r="D1" s="411"/>
      <c r="E1" s="100"/>
      <c r="F1" s="100"/>
      <c r="G1" s="100"/>
      <c r="H1" s="100"/>
      <c r="I1" s="100"/>
      <c r="J1" s="100"/>
      <c r="K1" s="100"/>
      <c r="L1" s="100"/>
      <c r="M1" s="100"/>
    </row>
    <row r="2" spans="1:13" ht="53.25" customHeight="1">
      <c r="A2" s="412" t="s">
        <v>410</v>
      </c>
      <c r="B2" s="412"/>
      <c r="C2" s="412"/>
      <c r="D2" s="412"/>
      <c r="E2" s="255"/>
    </row>
    <row r="3" spans="1:13" ht="83.25" customHeight="1">
      <c r="A3" s="413" t="s">
        <v>711</v>
      </c>
      <c r="B3" s="413"/>
      <c r="C3" s="413"/>
      <c r="D3" s="413"/>
      <c r="E3" s="236"/>
      <c r="F3" s="256"/>
      <c r="G3" s="256"/>
      <c r="H3" s="256"/>
      <c r="I3" s="256"/>
      <c r="J3" s="256"/>
      <c r="K3" s="256"/>
      <c r="L3" s="256"/>
      <c r="M3" s="256"/>
    </row>
    <row r="4" spans="1:13" s="147" customFormat="1" ht="30">
      <c r="A4" s="215" t="s">
        <v>172</v>
      </c>
      <c r="B4" s="215" t="s">
        <v>335</v>
      </c>
      <c r="C4" s="215" t="s">
        <v>43</v>
      </c>
      <c r="D4" s="215" t="s">
        <v>240</v>
      </c>
    </row>
    <row r="5" spans="1:13" ht="40.5">
      <c r="A5" s="170" t="s">
        <v>165</v>
      </c>
      <c r="B5" s="169" t="s">
        <v>164</v>
      </c>
      <c r="C5" s="168" t="s">
        <v>167</v>
      </c>
      <c r="D5" s="169" t="s">
        <v>166</v>
      </c>
    </row>
    <row r="6" spans="1:13" ht="54">
      <c r="A6" s="170" t="s">
        <v>161</v>
      </c>
      <c r="B6" s="143" t="s">
        <v>160</v>
      </c>
      <c r="C6" s="168" t="s">
        <v>163</v>
      </c>
      <c r="D6" s="162" t="s">
        <v>162</v>
      </c>
      <c r="E6" s="144"/>
    </row>
    <row r="7" spans="1:13" ht="27">
      <c r="A7" s="170" t="s">
        <v>169</v>
      </c>
      <c r="B7" s="169" t="s">
        <v>168</v>
      </c>
      <c r="C7" s="168" t="s">
        <v>123</v>
      </c>
      <c r="D7" s="169" t="s">
        <v>124</v>
      </c>
    </row>
    <row r="8" spans="1:13" ht="27">
      <c r="A8" s="170" t="s">
        <v>159</v>
      </c>
      <c r="B8" s="169" t="s">
        <v>158</v>
      </c>
      <c r="C8" s="168" t="s">
        <v>127</v>
      </c>
      <c r="D8" s="169" t="s">
        <v>128</v>
      </c>
    </row>
    <row r="9" spans="1:13" ht="27">
      <c r="A9" s="170" t="s">
        <v>171</v>
      </c>
      <c r="B9" s="169" t="s">
        <v>170</v>
      </c>
      <c r="C9" s="168" t="s">
        <v>88</v>
      </c>
      <c r="D9" s="169" t="s">
        <v>89</v>
      </c>
    </row>
  </sheetData>
  <mergeCells count="3">
    <mergeCell ref="A1:D1"/>
    <mergeCell ref="A2:D2"/>
    <mergeCell ref="A3:D3"/>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83466-9857-4B77-9BD8-8C88CF7D11CB}">
  <sheetPr codeName="Sheet24">
    <tabColor rgb="FFFF0000"/>
  </sheetPr>
  <dimension ref="A1:N5"/>
  <sheetViews>
    <sheetView workbookViewId="0">
      <selection activeCell="D6" sqref="D6"/>
    </sheetView>
  </sheetViews>
  <sheetFormatPr defaultColWidth="9.46484375" defaultRowHeight="13.5"/>
  <cols>
    <col min="1" max="1" width="12" style="137" bestFit="1" customWidth="1"/>
    <col min="2" max="2" width="35.06640625" style="137" customWidth="1"/>
    <col min="3" max="3" width="12.59765625" style="137" bestFit="1" customWidth="1"/>
    <col min="4" max="4" width="23.33203125" style="137" customWidth="1"/>
    <col min="5" max="5" width="52.53125" style="137" customWidth="1"/>
    <col min="6" max="6" width="29.06640625" style="137" customWidth="1"/>
    <col min="7" max="7" width="15.53125" style="137" customWidth="1"/>
    <col min="8" max="13" width="9.46484375" style="137"/>
    <col min="14" max="14" width="29.33203125" style="137" customWidth="1"/>
    <col min="15" max="16384" width="9.46484375" style="137"/>
  </cols>
  <sheetData>
    <row r="1" spans="1:14" ht="22.5">
      <c r="A1" s="307" t="s">
        <v>42</v>
      </c>
      <c r="B1" s="307"/>
      <c r="C1" s="307"/>
      <c r="D1" s="307"/>
      <c r="E1" s="307"/>
      <c r="F1" s="100"/>
      <c r="G1" s="100"/>
      <c r="H1" s="100"/>
      <c r="I1" s="100"/>
      <c r="J1" s="100"/>
      <c r="K1" s="100"/>
      <c r="L1" s="100"/>
      <c r="M1" s="100"/>
      <c r="N1" s="100"/>
    </row>
    <row r="2" spans="1:14" s="237" customFormat="1" ht="53.25" customHeight="1">
      <c r="A2" s="414" t="s">
        <v>409</v>
      </c>
      <c r="B2" s="415"/>
      <c r="C2" s="415"/>
      <c r="D2" s="415"/>
      <c r="E2" s="416"/>
      <c r="F2" s="248"/>
    </row>
    <row r="3" spans="1:14" s="237" customFormat="1" ht="74.25" customHeight="1">
      <c r="A3" s="417" t="s">
        <v>712</v>
      </c>
      <c r="B3" s="417"/>
      <c r="C3" s="417"/>
      <c r="D3" s="417"/>
      <c r="E3" s="417"/>
      <c r="F3" s="236"/>
    </row>
    <row r="4" spans="1:14" s="147" customFormat="1" ht="30">
      <c r="A4" s="207" t="s">
        <v>172</v>
      </c>
      <c r="B4" s="207" t="s">
        <v>335</v>
      </c>
      <c r="C4" s="207" t="s">
        <v>44</v>
      </c>
      <c r="D4" s="207" t="s">
        <v>239</v>
      </c>
      <c r="E4" s="207" t="s">
        <v>286</v>
      </c>
    </row>
    <row r="5" spans="1:14" ht="40.5">
      <c r="A5" s="170" t="s">
        <v>171</v>
      </c>
      <c r="B5" s="169" t="s">
        <v>170</v>
      </c>
      <c r="C5" s="168" t="s">
        <v>90</v>
      </c>
      <c r="D5" s="225" t="s">
        <v>653</v>
      </c>
      <c r="E5" s="169" t="s">
        <v>91</v>
      </c>
    </row>
  </sheetData>
  <mergeCells count="3">
    <mergeCell ref="A1:E1"/>
    <mergeCell ref="A2:E2"/>
    <mergeCell ref="A3:E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E955C-66DA-445B-8AB7-B99099E044C7}">
  <sheetPr codeName="Sheet25">
    <tabColor rgb="FFFF0000"/>
  </sheetPr>
  <dimension ref="A1:N7"/>
  <sheetViews>
    <sheetView topLeftCell="A4" workbookViewId="0">
      <selection activeCell="B5" sqref="B5"/>
    </sheetView>
  </sheetViews>
  <sheetFormatPr defaultColWidth="9.46484375" defaultRowHeight="13.5"/>
  <cols>
    <col min="1" max="1" width="12" style="137" bestFit="1" customWidth="1"/>
    <col min="2" max="2" width="30.53125" style="137" customWidth="1"/>
    <col min="3" max="3" width="12.59765625" style="137" bestFit="1" customWidth="1"/>
    <col min="4" max="4" width="15.59765625" style="137" bestFit="1" customWidth="1"/>
    <col min="5" max="5" width="52.53125" style="137" customWidth="1"/>
    <col min="6" max="6" width="30" style="137" customWidth="1"/>
    <col min="7" max="7" width="17.9296875" style="137" customWidth="1"/>
    <col min="8" max="13" width="9.46484375" style="137"/>
    <col min="14" max="14" width="29.33203125" style="137" customWidth="1"/>
    <col min="15" max="16384" width="9.46484375" style="137"/>
  </cols>
  <sheetData>
    <row r="1" spans="1:14" ht="22.5">
      <c r="A1" s="307" t="s">
        <v>42</v>
      </c>
      <c r="B1" s="307"/>
      <c r="C1" s="307"/>
      <c r="D1" s="307"/>
      <c r="E1" s="307"/>
      <c r="F1" s="100"/>
      <c r="G1" s="100"/>
      <c r="H1" s="100"/>
      <c r="I1" s="100"/>
      <c r="J1" s="100"/>
      <c r="K1" s="100"/>
      <c r="L1" s="100"/>
      <c r="M1" s="100"/>
      <c r="N1" s="100"/>
    </row>
    <row r="2" spans="1:14" s="237" customFormat="1" ht="54.75" customHeight="1">
      <c r="A2" s="418" t="s">
        <v>410</v>
      </c>
      <c r="B2" s="418"/>
      <c r="C2" s="418"/>
      <c r="D2" s="418"/>
      <c r="E2" s="418"/>
      <c r="F2" s="248"/>
    </row>
    <row r="3" spans="1:14" s="237" customFormat="1" ht="90.75" customHeight="1">
      <c r="A3" s="419" t="s">
        <v>713</v>
      </c>
      <c r="B3" s="419"/>
      <c r="C3" s="419"/>
      <c r="D3" s="419"/>
      <c r="E3" s="419"/>
      <c r="F3" s="236"/>
    </row>
    <row r="4" spans="1:14" s="147" customFormat="1" ht="30">
      <c r="A4" s="215" t="s">
        <v>172</v>
      </c>
      <c r="B4" s="215" t="s">
        <v>335</v>
      </c>
      <c r="C4" s="215" t="s">
        <v>287</v>
      </c>
      <c r="D4" s="215" t="s">
        <v>243</v>
      </c>
      <c r="E4" s="215" t="s">
        <v>337</v>
      </c>
    </row>
    <row r="5" spans="1:14" ht="54">
      <c r="A5" s="170" t="s">
        <v>377</v>
      </c>
      <c r="B5" s="169" t="s">
        <v>378</v>
      </c>
      <c r="C5" s="168" t="s">
        <v>107</v>
      </c>
      <c r="D5" s="225" t="s">
        <v>245</v>
      </c>
      <c r="E5" s="169" t="s">
        <v>108</v>
      </c>
    </row>
    <row r="6" spans="1:14" ht="54">
      <c r="A6" s="170" t="s">
        <v>159</v>
      </c>
      <c r="B6" s="169" t="s">
        <v>158</v>
      </c>
      <c r="C6" s="168" t="s">
        <v>125</v>
      </c>
      <c r="D6" s="225" t="s">
        <v>255</v>
      </c>
      <c r="E6" s="169" t="s">
        <v>126</v>
      </c>
    </row>
    <row r="7" spans="1:14" ht="121.5">
      <c r="A7" s="225" t="s">
        <v>171</v>
      </c>
      <c r="B7" s="169" t="s">
        <v>170</v>
      </c>
      <c r="C7" s="170" t="s">
        <v>339</v>
      </c>
      <c r="D7" s="169" t="s">
        <v>340</v>
      </c>
      <c r="E7" s="169" t="s">
        <v>341</v>
      </c>
    </row>
  </sheetData>
  <mergeCells count="3">
    <mergeCell ref="A1:E1"/>
    <mergeCell ref="A2:E2"/>
    <mergeCell ref="A3:E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1153D-3267-4D21-93EB-2C8255E3E02D}">
  <sheetPr codeName="Sheet26">
    <tabColor rgb="FFFF0000"/>
  </sheetPr>
  <dimension ref="A1:N7"/>
  <sheetViews>
    <sheetView workbookViewId="0">
      <selection activeCell="B7" sqref="B7"/>
    </sheetView>
  </sheetViews>
  <sheetFormatPr defaultColWidth="9.46484375" defaultRowHeight="13.5"/>
  <cols>
    <col min="1" max="1" width="12" style="137" bestFit="1" customWidth="1"/>
    <col min="2" max="2" width="35.06640625" style="137" customWidth="1"/>
    <col min="3" max="3" width="12.59765625" style="137" bestFit="1" customWidth="1"/>
    <col min="4" max="4" width="22.9296875" style="137" customWidth="1"/>
    <col min="5" max="5" width="52.53125" style="137" customWidth="1"/>
    <col min="6" max="6" width="30.53125" style="137" customWidth="1"/>
    <col min="7" max="7" width="19.46484375" style="137" customWidth="1"/>
    <col min="8" max="13" width="9.46484375" style="137"/>
    <col min="14" max="14" width="29.33203125" style="137" customWidth="1"/>
    <col min="15" max="16384" width="9.46484375" style="137"/>
  </cols>
  <sheetData>
    <row r="1" spans="1:14" ht="22.5">
      <c r="A1" s="307" t="s">
        <v>42</v>
      </c>
      <c r="B1" s="307"/>
      <c r="C1" s="307"/>
      <c r="D1" s="307"/>
      <c r="E1" s="307"/>
      <c r="F1" s="100"/>
      <c r="G1" s="100"/>
      <c r="H1" s="100"/>
      <c r="I1" s="100"/>
      <c r="J1" s="100"/>
      <c r="K1" s="100"/>
      <c r="L1" s="100"/>
      <c r="M1" s="100"/>
      <c r="N1" s="100"/>
    </row>
    <row r="2" spans="1:14" s="237" customFormat="1" ht="48.75" customHeight="1">
      <c r="A2" s="420" t="s">
        <v>410</v>
      </c>
      <c r="B2" s="421"/>
      <c r="C2" s="421"/>
      <c r="D2" s="421"/>
      <c r="E2" s="422"/>
      <c r="F2" s="248"/>
    </row>
    <row r="3" spans="1:14" s="237" customFormat="1" ht="78" customHeight="1">
      <c r="A3" s="423" t="s">
        <v>714</v>
      </c>
      <c r="B3" s="423"/>
      <c r="C3" s="423"/>
      <c r="D3" s="423"/>
      <c r="E3" s="423"/>
      <c r="F3" s="236"/>
    </row>
    <row r="4" spans="1:14" s="147" customFormat="1" ht="30">
      <c r="A4" s="215" t="s">
        <v>172</v>
      </c>
      <c r="B4" s="215" t="s">
        <v>335</v>
      </c>
      <c r="C4" s="215" t="s">
        <v>322</v>
      </c>
      <c r="D4" s="215" t="s">
        <v>323</v>
      </c>
      <c r="E4" s="215" t="s">
        <v>271</v>
      </c>
    </row>
    <row r="5" spans="1:14" ht="40.5">
      <c r="A5" s="170" t="s">
        <v>377</v>
      </c>
      <c r="B5" s="169" t="s">
        <v>378</v>
      </c>
      <c r="C5" s="168" t="s">
        <v>140</v>
      </c>
      <c r="D5" s="168" t="s">
        <v>269</v>
      </c>
      <c r="E5" s="169" t="s">
        <v>697</v>
      </c>
    </row>
    <row r="6" spans="1:14" ht="54">
      <c r="A6" s="170" t="s">
        <v>169</v>
      </c>
      <c r="B6" s="169" t="s">
        <v>168</v>
      </c>
      <c r="C6" s="168" t="s">
        <v>404</v>
      </c>
      <c r="D6" s="225" t="s">
        <v>405</v>
      </c>
      <c r="E6" s="169" t="s">
        <v>635</v>
      </c>
      <c r="F6" s="241"/>
    </row>
    <row r="7" spans="1:14" ht="40.5">
      <c r="A7" s="170" t="s">
        <v>401</v>
      </c>
      <c r="B7" s="169" t="s">
        <v>402</v>
      </c>
      <c r="C7" s="168" t="s">
        <v>398</v>
      </c>
      <c r="D7" s="168" t="s">
        <v>399</v>
      </c>
      <c r="E7" s="169" t="s">
        <v>400</v>
      </c>
    </row>
  </sheetData>
  <mergeCells count="3">
    <mergeCell ref="A1:E1"/>
    <mergeCell ref="A2:E2"/>
    <mergeCell ref="A3:E3"/>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C7F28-CCD1-4A5B-BC40-5A2F8DDD4F5F}">
  <sheetPr codeName="Sheet27">
    <tabColor rgb="FFFF0000"/>
  </sheetPr>
  <dimension ref="A1:N9"/>
  <sheetViews>
    <sheetView workbookViewId="0">
      <selection activeCell="A3" sqref="A3:E3"/>
    </sheetView>
  </sheetViews>
  <sheetFormatPr defaultColWidth="12.06640625" defaultRowHeight="13.5"/>
  <cols>
    <col min="1" max="1" width="12" style="137" bestFit="1" customWidth="1"/>
    <col min="2" max="2" width="32.53125" style="137" customWidth="1"/>
    <col min="3" max="3" width="12.59765625" style="137" bestFit="1" customWidth="1"/>
    <col min="4" max="4" width="19.33203125" style="137" customWidth="1"/>
    <col min="5" max="5" width="52.53125" style="137" customWidth="1"/>
    <col min="6" max="6" width="28.46484375" style="137" customWidth="1"/>
    <col min="7" max="7" width="16" style="137" customWidth="1"/>
    <col min="8" max="13" width="12.06640625" style="137"/>
    <col min="14" max="14" width="29.33203125" style="137" customWidth="1"/>
    <col min="15" max="16384" width="12.06640625" style="137"/>
  </cols>
  <sheetData>
    <row r="1" spans="1:14" ht="22.5">
      <c r="A1" s="307" t="s">
        <v>42</v>
      </c>
      <c r="B1" s="307"/>
      <c r="C1" s="307"/>
      <c r="D1" s="307"/>
      <c r="E1" s="307"/>
      <c r="F1" s="245"/>
      <c r="G1" s="245"/>
      <c r="H1" s="245"/>
      <c r="I1" s="245"/>
      <c r="J1" s="245"/>
      <c r="K1" s="245"/>
      <c r="L1" s="245"/>
      <c r="M1" s="245"/>
      <c r="N1" s="245"/>
    </row>
    <row r="2" spans="1:14" s="237" customFormat="1" ht="55.5" customHeight="1">
      <c r="A2" s="381" t="s">
        <v>410</v>
      </c>
      <c r="B2" s="381"/>
      <c r="C2" s="381"/>
      <c r="D2" s="381"/>
      <c r="E2" s="381"/>
      <c r="F2" s="248"/>
    </row>
    <row r="3" spans="1:14" s="237" customFormat="1" ht="72.75" customHeight="1">
      <c r="A3" s="382" t="s">
        <v>715</v>
      </c>
      <c r="B3" s="382"/>
      <c r="C3" s="382"/>
      <c r="D3" s="382"/>
      <c r="E3" s="382"/>
      <c r="F3" s="236"/>
    </row>
    <row r="4" spans="1:14" s="147" customFormat="1" ht="30">
      <c r="A4" s="215" t="s">
        <v>172</v>
      </c>
      <c r="B4" s="215" t="s">
        <v>335</v>
      </c>
      <c r="C4" s="215" t="s">
        <v>312</v>
      </c>
      <c r="D4" s="257" t="s">
        <v>274</v>
      </c>
      <c r="E4" s="215" t="s">
        <v>380</v>
      </c>
    </row>
    <row r="5" spans="1:14" ht="40.5">
      <c r="A5" s="170" t="s">
        <v>377</v>
      </c>
      <c r="B5" s="169" t="s">
        <v>378</v>
      </c>
      <c r="C5" s="258" t="s">
        <v>174</v>
      </c>
      <c r="D5" s="259" t="s">
        <v>276</v>
      </c>
      <c r="E5" s="260" t="s">
        <v>108</v>
      </c>
    </row>
    <row r="6" spans="1:14" ht="54">
      <c r="A6" s="170" t="s">
        <v>169</v>
      </c>
      <c r="B6" s="169" t="s">
        <v>168</v>
      </c>
      <c r="C6" s="258" t="s">
        <v>387</v>
      </c>
      <c r="D6" s="259" t="s">
        <v>388</v>
      </c>
      <c r="E6" s="260" t="s">
        <v>389</v>
      </c>
    </row>
    <row r="7" spans="1:14" ht="40.5">
      <c r="A7" s="170" t="s">
        <v>401</v>
      </c>
      <c r="B7" s="169" t="s">
        <v>402</v>
      </c>
      <c r="C7" s="258" t="s">
        <v>395</v>
      </c>
      <c r="D7" s="259" t="s">
        <v>396</v>
      </c>
      <c r="E7" s="260" t="s">
        <v>397</v>
      </c>
    </row>
    <row r="8" spans="1:14" ht="81">
      <c r="A8" s="170" t="s">
        <v>159</v>
      </c>
      <c r="B8" s="169" t="s">
        <v>158</v>
      </c>
      <c r="C8" s="258" t="s">
        <v>342</v>
      </c>
      <c r="D8" s="259" t="s">
        <v>343</v>
      </c>
      <c r="E8" s="260" t="s">
        <v>716</v>
      </c>
    </row>
    <row r="9" spans="1:14" ht="54">
      <c r="A9" s="170" t="s">
        <v>411</v>
      </c>
      <c r="B9" s="169" t="s">
        <v>484</v>
      </c>
      <c r="C9" s="258" t="s">
        <v>387</v>
      </c>
      <c r="D9" s="259" t="s">
        <v>388</v>
      </c>
      <c r="E9" s="260" t="s">
        <v>389</v>
      </c>
    </row>
  </sheetData>
  <mergeCells count="3">
    <mergeCell ref="A1:E1"/>
    <mergeCell ref="A2:E2"/>
    <mergeCell ref="A3:E3"/>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E86D7-7213-4128-B838-B7643FB12544}">
  <sheetPr codeName="Sheet28">
    <tabColor rgb="FFFF0000"/>
  </sheetPr>
  <dimension ref="A1:N40"/>
  <sheetViews>
    <sheetView topLeftCell="A25" workbookViewId="0">
      <selection activeCell="E35" sqref="E35"/>
    </sheetView>
  </sheetViews>
  <sheetFormatPr defaultColWidth="9.46484375" defaultRowHeight="13.5"/>
  <cols>
    <col min="1" max="1" width="12" style="137" bestFit="1" customWidth="1"/>
    <col min="2" max="2" width="19.53125" style="137" customWidth="1"/>
    <col min="3" max="3" width="51" style="202" customWidth="1"/>
    <col min="4" max="4" width="12.59765625" style="137" bestFit="1" customWidth="1"/>
    <col min="5" max="5" width="36.06640625" style="137" customWidth="1"/>
    <col min="6" max="6" width="23.59765625" style="137" customWidth="1"/>
    <col min="7" max="7" width="15.06640625" style="137" customWidth="1"/>
    <col min="8" max="13" width="9.46484375" style="137"/>
    <col min="14" max="14" width="29.33203125" style="137" customWidth="1"/>
    <col min="15" max="16384" width="9.46484375" style="137"/>
  </cols>
  <sheetData>
    <row r="1" spans="1:14" ht="22.5">
      <c r="A1" s="307" t="s">
        <v>42</v>
      </c>
      <c r="B1" s="307"/>
      <c r="C1" s="307"/>
      <c r="D1" s="307"/>
      <c r="E1" s="307"/>
      <c r="F1" s="100"/>
      <c r="G1" s="100"/>
      <c r="H1" s="100"/>
      <c r="I1" s="100"/>
      <c r="J1" s="100"/>
      <c r="K1" s="100"/>
      <c r="L1" s="100"/>
      <c r="M1" s="100"/>
      <c r="N1" s="100"/>
    </row>
    <row r="2" spans="1:14" s="237" customFormat="1" ht="50.25" customHeight="1">
      <c r="A2" s="430" t="s">
        <v>379</v>
      </c>
      <c r="B2" s="430"/>
      <c r="C2" s="430"/>
      <c r="D2" s="430"/>
      <c r="E2" s="430"/>
      <c r="F2" s="248"/>
    </row>
    <row r="3" spans="1:14" s="237" customFormat="1" ht="75" customHeight="1">
      <c r="A3" s="431" t="s">
        <v>717</v>
      </c>
      <c r="B3" s="431"/>
      <c r="C3" s="431"/>
      <c r="D3" s="431"/>
      <c r="E3" s="431"/>
      <c r="F3" s="236"/>
    </row>
    <row r="4" spans="1:14" s="147" customFormat="1" ht="30">
      <c r="A4" s="215" t="s">
        <v>173</v>
      </c>
      <c r="B4" s="215" t="s">
        <v>274</v>
      </c>
      <c r="C4" s="215" t="s">
        <v>380</v>
      </c>
      <c r="D4" s="215" t="s">
        <v>43</v>
      </c>
      <c r="E4" s="215" t="s">
        <v>240</v>
      </c>
    </row>
    <row r="5" spans="1:14" s="147" customFormat="1" ht="87" customHeight="1">
      <c r="A5" s="164" t="s">
        <v>437</v>
      </c>
      <c r="B5" s="164" t="s">
        <v>438</v>
      </c>
      <c r="C5" s="167" t="s">
        <v>645</v>
      </c>
      <c r="D5" s="170" t="s">
        <v>88</v>
      </c>
      <c r="E5" s="169" t="s">
        <v>89</v>
      </c>
    </row>
    <row r="6" spans="1:14" ht="81">
      <c r="A6" s="170" t="s">
        <v>342</v>
      </c>
      <c r="B6" s="169" t="s">
        <v>343</v>
      </c>
      <c r="C6" s="169" t="s">
        <v>716</v>
      </c>
      <c r="D6" s="170" t="s">
        <v>127</v>
      </c>
      <c r="E6" s="169" t="s">
        <v>128</v>
      </c>
    </row>
    <row r="7" spans="1:14" ht="45.75" customHeight="1">
      <c r="A7" s="432" t="s">
        <v>179</v>
      </c>
      <c r="B7" s="322" t="s">
        <v>278</v>
      </c>
      <c r="C7" s="312" t="s">
        <v>180</v>
      </c>
      <c r="D7" s="170" t="s">
        <v>59</v>
      </c>
      <c r="E7" s="169" t="s">
        <v>60</v>
      </c>
    </row>
    <row r="8" spans="1:14" ht="54" customHeight="1">
      <c r="A8" s="433"/>
      <c r="B8" s="333"/>
      <c r="C8" s="435"/>
      <c r="D8" s="170" t="s">
        <v>64</v>
      </c>
      <c r="E8" s="162" t="s">
        <v>65</v>
      </c>
    </row>
    <row r="9" spans="1:14" ht="64.5" customHeight="1">
      <c r="A9" s="434"/>
      <c r="B9" s="323"/>
      <c r="C9" s="313"/>
      <c r="D9" s="170" t="s">
        <v>68</v>
      </c>
      <c r="E9" s="162" t="s">
        <v>617</v>
      </c>
    </row>
    <row r="10" spans="1:14" ht="81">
      <c r="A10" s="170" t="s">
        <v>191</v>
      </c>
      <c r="B10" s="169" t="s">
        <v>283</v>
      </c>
      <c r="C10" s="169" t="s">
        <v>192</v>
      </c>
      <c r="D10" s="170" t="s">
        <v>119</v>
      </c>
      <c r="E10" s="169" t="s">
        <v>120</v>
      </c>
    </row>
    <row r="11" spans="1:14" ht="74.25" customHeight="1">
      <c r="A11" s="334" t="s">
        <v>187</v>
      </c>
      <c r="B11" s="322" t="s">
        <v>281</v>
      </c>
      <c r="C11" s="322" t="s">
        <v>188</v>
      </c>
      <c r="D11" s="170" t="s">
        <v>147</v>
      </c>
      <c r="E11" s="169" t="s">
        <v>148</v>
      </c>
    </row>
    <row r="12" spans="1:14" ht="60" customHeight="1">
      <c r="A12" s="335"/>
      <c r="B12" s="323"/>
      <c r="C12" s="323"/>
      <c r="D12" s="170" t="s">
        <v>85</v>
      </c>
      <c r="E12" s="162" t="s">
        <v>86</v>
      </c>
    </row>
    <row r="13" spans="1:14" ht="40.5">
      <c r="A13" s="170" t="s">
        <v>189</v>
      </c>
      <c r="B13" s="169" t="s">
        <v>282</v>
      </c>
      <c r="C13" s="169" t="s">
        <v>190</v>
      </c>
      <c r="D13" s="170" t="s">
        <v>150</v>
      </c>
      <c r="E13" s="169" t="s">
        <v>151</v>
      </c>
    </row>
    <row r="14" spans="1:14" ht="40.5">
      <c r="A14" s="170" t="s">
        <v>174</v>
      </c>
      <c r="B14" s="169" t="s">
        <v>276</v>
      </c>
      <c r="C14" s="169" t="s">
        <v>108</v>
      </c>
      <c r="D14" s="170" t="s">
        <v>372</v>
      </c>
      <c r="E14" s="169" t="s">
        <v>373</v>
      </c>
    </row>
    <row r="15" spans="1:14" ht="57" customHeight="1">
      <c r="A15" s="334" t="s">
        <v>174</v>
      </c>
      <c r="B15" s="322" t="s">
        <v>276</v>
      </c>
      <c r="C15" s="322" t="s">
        <v>108</v>
      </c>
      <c r="D15" s="170" t="s">
        <v>53</v>
      </c>
      <c r="E15" s="162" t="s">
        <v>54</v>
      </c>
    </row>
    <row r="16" spans="1:14">
      <c r="A16" s="335"/>
      <c r="B16" s="323"/>
      <c r="C16" s="323"/>
      <c r="D16" s="148" t="s">
        <v>372</v>
      </c>
      <c r="E16" s="149" t="s">
        <v>373</v>
      </c>
    </row>
    <row r="17" spans="1:6" ht="67.5">
      <c r="A17" s="170" t="s">
        <v>363</v>
      </c>
      <c r="B17" s="169" t="s">
        <v>364</v>
      </c>
      <c r="C17" s="169" t="s">
        <v>298</v>
      </c>
      <c r="D17" s="170" t="s">
        <v>56</v>
      </c>
      <c r="E17" s="162" t="s">
        <v>414</v>
      </c>
    </row>
    <row r="18" spans="1:6" ht="108">
      <c r="A18" s="170" t="s">
        <v>354</v>
      </c>
      <c r="B18" s="169" t="s">
        <v>355</v>
      </c>
      <c r="C18" s="169" t="s">
        <v>356</v>
      </c>
      <c r="D18" s="170" t="s">
        <v>92</v>
      </c>
      <c r="E18" s="162" t="s">
        <v>93</v>
      </c>
    </row>
    <row r="19" spans="1:6" ht="40.5">
      <c r="A19" s="170" t="s">
        <v>381</v>
      </c>
      <c r="B19" s="169" t="s">
        <v>382</v>
      </c>
      <c r="C19" s="169" t="s">
        <v>383</v>
      </c>
      <c r="D19" s="170" t="s">
        <v>456</v>
      </c>
      <c r="E19" s="162" t="s">
        <v>457</v>
      </c>
    </row>
    <row r="20" spans="1:6" ht="81">
      <c r="A20" s="170" t="s">
        <v>368</v>
      </c>
      <c r="B20" s="169" t="s">
        <v>303</v>
      </c>
      <c r="C20" s="169" t="s">
        <v>369</v>
      </c>
      <c r="D20" s="170" t="s">
        <v>375</v>
      </c>
      <c r="E20" s="169" t="s">
        <v>376</v>
      </c>
    </row>
    <row r="21" spans="1:6" ht="40.5">
      <c r="A21" s="170" t="s">
        <v>181</v>
      </c>
      <c r="B21" s="169" t="s">
        <v>279</v>
      </c>
      <c r="C21" s="169" t="s">
        <v>182</v>
      </c>
      <c r="D21" s="170" t="s">
        <v>71</v>
      </c>
      <c r="E21" s="169" t="s">
        <v>72</v>
      </c>
    </row>
    <row r="22" spans="1:6" ht="54">
      <c r="A22" s="170" t="s">
        <v>442</v>
      </c>
      <c r="B22" s="169" t="s">
        <v>443</v>
      </c>
      <c r="C22" s="169" t="s">
        <v>444</v>
      </c>
      <c r="D22" s="170" t="s">
        <v>440</v>
      </c>
      <c r="E22" s="162" t="s">
        <v>441</v>
      </c>
    </row>
    <row r="23" spans="1:6" ht="54">
      <c r="A23" s="170" t="s">
        <v>183</v>
      </c>
      <c r="B23" s="169" t="s">
        <v>78</v>
      </c>
      <c r="C23" s="169" t="s">
        <v>184</v>
      </c>
      <c r="D23" s="170" t="s">
        <v>77</v>
      </c>
      <c r="E23" s="169" t="s">
        <v>78</v>
      </c>
    </row>
    <row r="24" spans="1:6" ht="67.5">
      <c r="A24" s="170" t="s">
        <v>185</v>
      </c>
      <c r="B24" s="169" t="s">
        <v>280</v>
      </c>
      <c r="C24" s="169" t="s">
        <v>116</v>
      </c>
      <c r="D24" s="170" t="s">
        <v>80</v>
      </c>
      <c r="E24" s="169" t="s">
        <v>81</v>
      </c>
    </row>
    <row r="25" spans="1:6" ht="67.5">
      <c r="A25" s="170" t="s">
        <v>185</v>
      </c>
      <c r="B25" s="169" t="s">
        <v>280</v>
      </c>
      <c r="C25" s="169" t="s">
        <v>116</v>
      </c>
      <c r="D25" s="170" t="s">
        <v>83</v>
      </c>
      <c r="E25" s="162" t="s">
        <v>84</v>
      </c>
    </row>
    <row r="26" spans="1:6" ht="81">
      <c r="A26" s="170" t="s">
        <v>365</v>
      </c>
      <c r="B26" s="169" t="s">
        <v>366</v>
      </c>
      <c r="C26" s="169" t="s">
        <v>367</v>
      </c>
      <c r="D26" s="170" t="s">
        <v>69</v>
      </c>
      <c r="E26" s="162" t="s">
        <v>436</v>
      </c>
      <c r="F26" s="137" t="s">
        <v>18</v>
      </c>
    </row>
    <row r="27" spans="1:6" ht="27">
      <c r="A27" s="342" t="s">
        <v>384</v>
      </c>
      <c r="B27" s="344" t="s">
        <v>385</v>
      </c>
      <c r="C27" s="344" t="s">
        <v>386</v>
      </c>
      <c r="D27" s="170" t="s">
        <v>452</v>
      </c>
      <c r="E27" s="162" t="s">
        <v>453</v>
      </c>
    </row>
    <row r="28" spans="1:6" ht="29.25" customHeight="1">
      <c r="A28" s="343"/>
      <c r="B28" s="345"/>
      <c r="C28" s="427"/>
      <c r="D28" s="170" t="s">
        <v>163</v>
      </c>
      <c r="E28" s="169" t="s">
        <v>162</v>
      </c>
    </row>
    <row r="29" spans="1:6" ht="67.5">
      <c r="A29" s="261" t="s">
        <v>177</v>
      </c>
      <c r="B29" s="262" t="s">
        <v>277</v>
      </c>
      <c r="C29" s="185" t="s">
        <v>178</v>
      </c>
      <c r="D29" s="148" t="s">
        <v>445</v>
      </c>
      <c r="E29" s="184" t="s">
        <v>446</v>
      </c>
    </row>
    <row r="30" spans="1:6" ht="54">
      <c r="A30" s="170" t="s">
        <v>387</v>
      </c>
      <c r="B30" s="169" t="s">
        <v>388</v>
      </c>
      <c r="C30" s="169" t="s">
        <v>389</v>
      </c>
      <c r="D30" s="170" t="s">
        <v>123</v>
      </c>
      <c r="E30" s="169" t="s">
        <v>124</v>
      </c>
    </row>
    <row r="31" spans="1:6" ht="40.5">
      <c r="A31" s="170" t="s">
        <v>395</v>
      </c>
      <c r="B31" s="169" t="s">
        <v>396</v>
      </c>
      <c r="C31" s="169" t="s">
        <v>397</v>
      </c>
      <c r="D31" s="170" t="s">
        <v>45</v>
      </c>
      <c r="E31" s="162" t="s">
        <v>46</v>
      </c>
    </row>
    <row r="32" spans="1:6" ht="90.75" customHeight="1">
      <c r="A32" s="170" t="s">
        <v>390</v>
      </c>
      <c r="B32" s="169" t="s">
        <v>391</v>
      </c>
      <c r="C32" s="169" t="s">
        <v>392</v>
      </c>
      <c r="D32" s="170" t="s">
        <v>393</v>
      </c>
      <c r="E32" s="169" t="s">
        <v>394</v>
      </c>
    </row>
    <row r="33" spans="1:5" ht="40.5">
      <c r="A33" s="170" t="s">
        <v>174</v>
      </c>
      <c r="B33" s="169" t="s">
        <v>276</v>
      </c>
      <c r="C33" s="169" t="s">
        <v>108</v>
      </c>
      <c r="D33" s="170" t="s">
        <v>372</v>
      </c>
      <c r="E33" s="169" t="s">
        <v>373</v>
      </c>
    </row>
    <row r="34" spans="1:5">
      <c r="A34" s="334" t="s">
        <v>384</v>
      </c>
      <c r="B34" s="322" t="s">
        <v>385</v>
      </c>
      <c r="C34" s="322" t="s">
        <v>386</v>
      </c>
      <c r="D34" s="148" t="s">
        <v>452</v>
      </c>
      <c r="E34" s="184" t="s">
        <v>647</v>
      </c>
    </row>
    <row r="35" spans="1:5">
      <c r="A35" s="428"/>
      <c r="B35" s="333"/>
      <c r="C35" s="333"/>
      <c r="D35" s="148" t="s">
        <v>648</v>
      </c>
      <c r="E35" s="184" t="s">
        <v>718</v>
      </c>
    </row>
    <row r="36" spans="1:5" ht="34.25" customHeight="1">
      <c r="A36" s="335"/>
      <c r="B36" s="323"/>
      <c r="C36" s="429"/>
      <c r="D36" s="148" t="s">
        <v>163</v>
      </c>
      <c r="E36" s="149" t="s">
        <v>162</v>
      </c>
    </row>
    <row r="37" spans="1:5" ht="67.5">
      <c r="A37" s="246" t="s">
        <v>177</v>
      </c>
      <c r="B37" s="247" t="s">
        <v>277</v>
      </c>
      <c r="C37" s="263" t="s">
        <v>178</v>
      </c>
      <c r="D37" s="246" t="s">
        <v>445</v>
      </c>
      <c r="E37" s="172" t="s">
        <v>446</v>
      </c>
    </row>
    <row r="38" spans="1:5" ht="27">
      <c r="A38" s="424" t="s">
        <v>449</v>
      </c>
      <c r="B38" s="425" t="s">
        <v>388</v>
      </c>
      <c r="C38" s="426" t="s">
        <v>389</v>
      </c>
      <c r="D38" s="170" t="s">
        <v>447</v>
      </c>
      <c r="E38" s="169" t="s">
        <v>448</v>
      </c>
    </row>
    <row r="39" spans="1:5" ht="15" customHeight="1">
      <c r="A39" s="424"/>
      <c r="B39" s="425"/>
      <c r="C39" s="426"/>
      <c r="D39" s="148" t="s">
        <v>123</v>
      </c>
      <c r="E39" s="149" t="s">
        <v>124</v>
      </c>
    </row>
    <row r="40" spans="1:5">
      <c r="A40" s="424"/>
      <c r="B40" s="425"/>
      <c r="C40" s="426"/>
      <c r="D40" s="170" t="s">
        <v>450</v>
      </c>
      <c r="E40" s="164" t="s">
        <v>451</v>
      </c>
    </row>
  </sheetData>
  <mergeCells count="21">
    <mergeCell ref="A1:E1"/>
    <mergeCell ref="A2:E2"/>
    <mergeCell ref="A3:E3"/>
    <mergeCell ref="A7:A9"/>
    <mergeCell ref="B7:B9"/>
    <mergeCell ref="C7:C9"/>
    <mergeCell ref="A11:A12"/>
    <mergeCell ref="B11:B12"/>
    <mergeCell ref="C11:C12"/>
    <mergeCell ref="A15:A16"/>
    <mergeCell ref="B15:B16"/>
    <mergeCell ref="C15:C16"/>
    <mergeCell ref="A38:A40"/>
    <mergeCell ref="B38:B40"/>
    <mergeCell ref="C38:C40"/>
    <mergeCell ref="A27:A28"/>
    <mergeCell ref="B27:B28"/>
    <mergeCell ref="C27:C28"/>
    <mergeCell ref="A34:A36"/>
    <mergeCell ref="B34:B36"/>
    <mergeCell ref="C34:C36"/>
  </mergeCell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B00C5-3A41-4EB0-835B-BEAE295D8546}">
  <sheetPr codeName="Sheet29">
    <tabColor rgb="FFFF0000"/>
  </sheetPr>
  <dimension ref="A1:O24"/>
  <sheetViews>
    <sheetView topLeftCell="A9" workbookViewId="0">
      <selection activeCell="F15" sqref="F15"/>
    </sheetView>
  </sheetViews>
  <sheetFormatPr defaultColWidth="12.06640625" defaultRowHeight="13.5"/>
  <cols>
    <col min="1" max="1" width="12" style="137" bestFit="1" customWidth="1"/>
    <col min="2" max="2" width="19.9296875" style="137" customWidth="1"/>
    <col min="3" max="3" width="44.06640625" style="137" customWidth="1"/>
    <col min="4" max="4" width="12.59765625" style="137" bestFit="1" customWidth="1"/>
    <col min="5" max="5" width="22.59765625" style="137" customWidth="1"/>
    <col min="6" max="6" width="44.06640625" style="137" customWidth="1"/>
    <col min="7" max="7" width="29.06640625" style="137" customWidth="1"/>
    <col min="8" max="8" width="15.9296875" style="137" customWidth="1"/>
    <col min="9" max="14" width="12.06640625" style="137"/>
    <col min="15" max="15" width="29.33203125" style="137" customWidth="1"/>
    <col min="16" max="16384" width="12.06640625" style="137"/>
  </cols>
  <sheetData>
    <row r="1" spans="1:15" ht="22.5">
      <c r="A1" s="307" t="s">
        <v>42</v>
      </c>
      <c r="B1" s="307"/>
      <c r="C1" s="307"/>
      <c r="D1" s="307"/>
      <c r="E1" s="307"/>
      <c r="F1" s="307"/>
      <c r="G1" s="100"/>
      <c r="H1" s="100"/>
      <c r="I1" s="100"/>
      <c r="J1" s="100"/>
      <c r="K1" s="100"/>
      <c r="L1" s="100"/>
      <c r="M1" s="100"/>
      <c r="N1" s="100"/>
      <c r="O1" s="100"/>
    </row>
    <row r="2" spans="1:15" s="237" customFormat="1" ht="55.5" customHeight="1">
      <c r="A2" s="303" t="s">
        <v>379</v>
      </c>
      <c r="B2" s="303"/>
      <c r="C2" s="303"/>
      <c r="D2" s="303"/>
      <c r="E2" s="303"/>
      <c r="F2" s="303"/>
      <c r="G2" s="248"/>
    </row>
    <row r="3" spans="1:15" s="237" customFormat="1" ht="69" customHeight="1">
      <c r="A3" s="436" t="s">
        <v>719</v>
      </c>
      <c r="B3" s="436"/>
      <c r="C3" s="436"/>
      <c r="D3" s="436"/>
      <c r="E3" s="436"/>
      <c r="F3" s="436"/>
      <c r="G3" s="236"/>
    </row>
    <row r="4" spans="1:15" s="264" customFormat="1" ht="30">
      <c r="A4" s="215" t="s">
        <v>173</v>
      </c>
      <c r="B4" s="215" t="s">
        <v>274</v>
      </c>
      <c r="C4" s="215" t="s">
        <v>313</v>
      </c>
      <c r="D4" s="215" t="s">
        <v>44</v>
      </c>
      <c r="E4" s="215" t="s">
        <v>239</v>
      </c>
      <c r="F4" s="215" t="s">
        <v>286</v>
      </c>
    </row>
    <row r="5" spans="1:15" s="264" customFormat="1" ht="67.5">
      <c r="A5" s="169" t="s">
        <v>437</v>
      </c>
      <c r="B5" s="169" t="s">
        <v>438</v>
      </c>
      <c r="C5" s="169" t="s">
        <v>466</v>
      </c>
      <c r="D5" s="169" t="s">
        <v>90</v>
      </c>
      <c r="E5" s="169" t="s">
        <v>465</v>
      </c>
      <c r="F5" s="169" t="s">
        <v>91</v>
      </c>
      <c r="G5" s="265"/>
    </row>
    <row r="6" spans="1:15" s="264" customFormat="1" ht="40.5">
      <c r="A6" s="322" t="s">
        <v>179</v>
      </c>
      <c r="B6" s="322" t="s">
        <v>278</v>
      </c>
      <c r="C6" s="322" t="s">
        <v>180</v>
      </c>
      <c r="D6" s="169" t="s">
        <v>66</v>
      </c>
      <c r="E6" s="169" t="s">
        <v>290</v>
      </c>
      <c r="F6" s="169" t="s">
        <v>67</v>
      </c>
      <c r="G6" s="265"/>
    </row>
    <row r="7" spans="1:15" ht="67.5">
      <c r="A7" s="323"/>
      <c r="B7" s="323"/>
      <c r="C7" s="323"/>
      <c r="D7" s="169" t="s">
        <v>61</v>
      </c>
      <c r="E7" s="169" t="s">
        <v>654</v>
      </c>
      <c r="F7" s="169" t="s">
        <v>485</v>
      </c>
      <c r="G7" s="265"/>
    </row>
    <row r="8" spans="1:15" ht="121.5">
      <c r="A8" s="169" t="s">
        <v>187</v>
      </c>
      <c r="B8" s="169" t="s">
        <v>281</v>
      </c>
      <c r="C8" s="169" t="s">
        <v>188</v>
      </c>
      <c r="D8" s="169" t="s">
        <v>87</v>
      </c>
      <c r="E8" s="169" t="s">
        <v>651</v>
      </c>
      <c r="F8" s="169" t="s">
        <v>652</v>
      </c>
      <c r="G8" s="265"/>
    </row>
    <row r="9" spans="1:15" ht="81">
      <c r="A9" s="169" t="s">
        <v>174</v>
      </c>
      <c r="B9" s="169" t="s">
        <v>276</v>
      </c>
      <c r="C9" s="169" t="s">
        <v>108</v>
      </c>
      <c r="D9" s="169" t="s">
        <v>293</v>
      </c>
      <c r="E9" s="169" t="s">
        <v>464</v>
      </c>
      <c r="F9" s="169" t="s">
        <v>467</v>
      </c>
      <c r="G9" s="265"/>
    </row>
    <row r="10" spans="1:15" ht="81">
      <c r="A10" s="169" t="s">
        <v>363</v>
      </c>
      <c r="B10" s="169" t="s">
        <v>364</v>
      </c>
      <c r="C10" s="169" t="s">
        <v>298</v>
      </c>
      <c r="D10" s="169" t="s">
        <v>430</v>
      </c>
      <c r="E10" s="169" t="s">
        <v>468</v>
      </c>
      <c r="F10" s="169" t="s">
        <v>469</v>
      </c>
      <c r="G10" s="265"/>
    </row>
    <row r="11" spans="1:15" ht="67.5">
      <c r="A11" s="169" t="s">
        <v>473</v>
      </c>
      <c r="B11" s="169" t="s">
        <v>474</v>
      </c>
      <c r="C11" s="247" t="s">
        <v>475</v>
      </c>
      <c r="D11" s="169" t="s">
        <v>55</v>
      </c>
      <c r="E11" s="169" t="s">
        <v>236</v>
      </c>
      <c r="F11" s="247" t="s">
        <v>720</v>
      </c>
      <c r="G11" s="265"/>
    </row>
    <row r="12" spans="1:15" ht="94.5">
      <c r="A12" s="169" t="s">
        <v>368</v>
      </c>
      <c r="B12" s="169" t="s">
        <v>303</v>
      </c>
      <c r="C12" s="169" t="s">
        <v>369</v>
      </c>
      <c r="D12" s="169" t="s">
        <v>55</v>
      </c>
      <c r="E12" s="169" t="s">
        <v>236</v>
      </c>
      <c r="F12" s="266" t="s">
        <v>612</v>
      </c>
      <c r="G12" s="265"/>
    </row>
    <row r="13" spans="1:15" ht="40.5">
      <c r="A13" s="169" t="s">
        <v>181</v>
      </c>
      <c r="B13" s="169" t="s">
        <v>279</v>
      </c>
      <c r="C13" s="169" t="s">
        <v>182</v>
      </c>
      <c r="D13" s="169" t="s">
        <v>73</v>
      </c>
      <c r="E13" s="169" t="s">
        <v>300</v>
      </c>
      <c r="F13" s="169" t="s">
        <v>618</v>
      </c>
      <c r="G13" s="265"/>
    </row>
    <row r="14" spans="1:15" ht="92" customHeight="1">
      <c r="A14" s="169" t="s">
        <v>470</v>
      </c>
      <c r="B14" s="169" t="s">
        <v>471</v>
      </c>
      <c r="C14" s="169" t="s">
        <v>472</v>
      </c>
      <c r="D14" s="169" t="s">
        <v>73</v>
      </c>
      <c r="E14" s="169" t="s">
        <v>300</v>
      </c>
      <c r="F14" s="169" t="s">
        <v>618</v>
      </c>
      <c r="G14" s="265"/>
    </row>
    <row r="15" spans="1:15" ht="116" customHeight="1">
      <c r="A15" s="169" t="s">
        <v>183</v>
      </c>
      <c r="B15" s="169" t="s">
        <v>78</v>
      </c>
      <c r="C15" s="169" t="s">
        <v>184</v>
      </c>
      <c r="D15" s="169" t="s">
        <v>79</v>
      </c>
      <c r="E15" s="169" t="s">
        <v>230</v>
      </c>
      <c r="F15" s="169" t="s">
        <v>657</v>
      </c>
      <c r="G15" s="265"/>
    </row>
    <row r="16" spans="1:15" ht="81">
      <c r="A16" s="169" t="s">
        <v>185</v>
      </c>
      <c r="B16" s="169" t="s">
        <v>280</v>
      </c>
      <c r="C16" s="169" t="s">
        <v>116</v>
      </c>
      <c r="D16" s="169" t="s">
        <v>82</v>
      </c>
      <c r="E16" s="169" t="s">
        <v>229</v>
      </c>
      <c r="F16" s="169" t="s">
        <v>621</v>
      </c>
      <c r="G16" s="265"/>
    </row>
    <row r="17" spans="1:6">
      <c r="A17" s="202"/>
      <c r="B17" s="202"/>
      <c r="C17" s="202"/>
      <c r="D17" s="202"/>
      <c r="E17" s="202"/>
      <c r="F17" s="202"/>
    </row>
    <row r="18" spans="1:6">
      <c r="A18" s="202"/>
      <c r="B18" s="202"/>
      <c r="C18" s="202"/>
      <c r="D18" s="202"/>
      <c r="E18" s="202"/>
      <c r="F18" s="202"/>
    </row>
    <row r="19" spans="1:6">
      <c r="A19" s="202"/>
      <c r="B19" s="202"/>
      <c r="C19" s="202"/>
      <c r="D19" s="202"/>
      <c r="E19" s="202"/>
      <c r="F19" s="202"/>
    </row>
    <row r="20" spans="1:6">
      <c r="A20" s="202"/>
      <c r="B20" s="202"/>
      <c r="C20" s="202"/>
      <c r="D20" s="202"/>
      <c r="E20" s="202"/>
      <c r="F20" s="202"/>
    </row>
    <row r="21" spans="1:6">
      <c r="A21" s="202"/>
      <c r="B21" s="202"/>
      <c r="C21" s="202"/>
      <c r="D21" s="202"/>
      <c r="E21" s="202"/>
      <c r="F21" s="202"/>
    </row>
    <row r="22" spans="1:6">
      <c r="A22" s="202"/>
      <c r="B22" s="202"/>
      <c r="C22" s="202"/>
      <c r="D22" s="202"/>
      <c r="E22" s="202"/>
      <c r="F22" s="202"/>
    </row>
    <row r="23" spans="1:6">
      <c r="A23" s="202"/>
      <c r="B23" s="202"/>
      <c r="C23" s="202"/>
      <c r="D23" s="202"/>
      <c r="E23" s="202"/>
      <c r="F23" s="202"/>
    </row>
    <row r="24" spans="1:6">
      <c r="A24" s="202"/>
      <c r="B24" s="202"/>
      <c r="C24" s="202"/>
      <c r="D24" s="202"/>
      <c r="E24" s="202"/>
      <c r="F24" s="202"/>
    </row>
  </sheetData>
  <mergeCells count="6">
    <mergeCell ref="A1:F1"/>
    <mergeCell ref="A2:F2"/>
    <mergeCell ref="A3:F3"/>
    <mergeCell ref="A6:A7"/>
    <mergeCell ref="B6:B7"/>
    <mergeCell ref="C6:C7"/>
  </mergeCell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CE152-9233-481C-B3C8-2393EB69A947}">
  <sheetPr codeName="Sheet30">
    <tabColor rgb="FFFF0000"/>
  </sheetPr>
  <dimension ref="A1:O19"/>
  <sheetViews>
    <sheetView workbookViewId="0">
      <selection activeCell="F10" sqref="F10"/>
    </sheetView>
  </sheetViews>
  <sheetFormatPr defaultColWidth="12.06640625" defaultRowHeight="13.5"/>
  <cols>
    <col min="1" max="1" width="12" style="137" bestFit="1" customWidth="1"/>
    <col min="2" max="2" width="19.46484375" style="137" customWidth="1"/>
    <col min="3" max="3" width="45.33203125" style="137" customWidth="1"/>
    <col min="4" max="4" width="12.59765625" style="137" bestFit="1" customWidth="1"/>
    <col min="5" max="5" width="18.06640625" style="137" customWidth="1"/>
    <col min="6" max="6" width="52.06640625" style="137" customWidth="1"/>
    <col min="7" max="7" width="25.46484375" style="137" customWidth="1"/>
    <col min="8" max="8" width="16.59765625" style="137" customWidth="1"/>
    <col min="9" max="14" width="12.06640625" style="137"/>
    <col min="15" max="15" width="14.59765625" style="137" customWidth="1"/>
    <col min="16" max="16384" width="12.06640625" style="137"/>
  </cols>
  <sheetData>
    <row r="1" spans="1:15" ht="23.25" customHeight="1">
      <c r="A1" s="437" t="s">
        <v>42</v>
      </c>
      <c r="B1" s="437"/>
      <c r="C1" s="437"/>
      <c r="D1" s="437"/>
      <c r="E1" s="437"/>
      <c r="F1" s="437"/>
      <c r="G1" s="267"/>
      <c r="H1" s="267"/>
      <c r="I1" s="267"/>
      <c r="J1" s="267"/>
      <c r="K1" s="267"/>
      <c r="L1" s="267"/>
      <c r="M1" s="267"/>
      <c r="N1" s="267"/>
      <c r="O1" s="267"/>
    </row>
    <row r="2" spans="1:15" s="237" customFormat="1" ht="52.5" customHeight="1">
      <c r="A2" s="308" t="s">
        <v>379</v>
      </c>
      <c r="B2" s="308"/>
      <c r="C2" s="308"/>
      <c r="D2" s="308"/>
      <c r="E2" s="308"/>
      <c r="F2" s="308"/>
      <c r="G2" s="248"/>
      <c r="H2" s="248"/>
    </row>
    <row r="3" spans="1:15" s="237" customFormat="1" ht="69" customHeight="1">
      <c r="A3" s="438" t="s">
        <v>721</v>
      </c>
      <c r="B3" s="438"/>
      <c r="C3" s="438"/>
      <c r="D3" s="438"/>
      <c r="E3" s="438"/>
      <c r="F3" s="438"/>
      <c r="G3" s="236"/>
    </row>
    <row r="4" spans="1:15" s="264" customFormat="1" ht="30">
      <c r="A4" s="215" t="s">
        <v>173</v>
      </c>
      <c r="B4" s="215" t="s">
        <v>274</v>
      </c>
      <c r="C4" s="215" t="s">
        <v>313</v>
      </c>
      <c r="D4" s="215" t="s">
        <v>287</v>
      </c>
      <c r="E4" s="215" t="s">
        <v>243</v>
      </c>
      <c r="F4" s="215" t="s">
        <v>337</v>
      </c>
      <c r="G4" s="147"/>
      <c r="H4" s="147"/>
      <c r="I4" s="147"/>
      <c r="J4" s="147"/>
      <c r="K4" s="147"/>
      <c r="L4" s="147"/>
      <c r="M4" s="147"/>
      <c r="N4" s="147"/>
      <c r="O4" s="147"/>
    </row>
    <row r="5" spans="1:15" ht="94.5">
      <c r="A5" s="169" t="s">
        <v>342</v>
      </c>
      <c r="B5" s="169" t="s">
        <v>343</v>
      </c>
      <c r="C5" s="169" t="s">
        <v>344</v>
      </c>
      <c r="D5" s="169" t="s">
        <v>125</v>
      </c>
      <c r="E5" s="169" t="s">
        <v>255</v>
      </c>
      <c r="F5" s="169" t="s">
        <v>126</v>
      </c>
      <c r="G5" s="202"/>
      <c r="H5" s="202"/>
      <c r="I5" s="202"/>
      <c r="J5" s="202"/>
      <c r="K5" s="202"/>
      <c r="L5" s="202"/>
      <c r="M5" s="202"/>
      <c r="N5" s="202"/>
      <c r="O5" s="202"/>
    </row>
    <row r="6" spans="1:15" ht="108">
      <c r="A6" s="169" t="s">
        <v>179</v>
      </c>
      <c r="B6" s="169" t="s">
        <v>278</v>
      </c>
      <c r="C6" s="169" t="s">
        <v>180</v>
      </c>
      <c r="D6" s="169" t="s">
        <v>109</v>
      </c>
      <c r="E6" s="169" t="s">
        <v>246</v>
      </c>
      <c r="F6" s="169" t="s">
        <v>110</v>
      </c>
      <c r="G6" s="202"/>
      <c r="H6" s="202"/>
      <c r="I6" s="202"/>
      <c r="J6" s="202"/>
      <c r="K6" s="202"/>
      <c r="L6" s="202"/>
      <c r="M6" s="202"/>
      <c r="N6" s="202"/>
      <c r="O6" s="202"/>
    </row>
    <row r="7" spans="1:15" ht="94.5">
      <c r="A7" s="169" t="s">
        <v>191</v>
      </c>
      <c r="B7" s="169" t="s">
        <v>283</v>
      </c>
      <c r="C7" s="169" t="s">
        <v>192</v>
      </c>
      <c r="D7" s="169" t="s">
        <v>109</v>
      </c>
      <c r="E7" s="169" t="s">
        <v>246</v>
      </c>
      <c r="F7" s="169" t="s">
        <v>110</v>
      </c>
      <c r="G7" s="202"/>
      <c r="H7" s="202"/>
      <c r="I7" s="202"/>
      <c r="J7" s="202"/>
      <c r="K7" s="202"/>
      <c r="L7" s="202"/>
      <c r="M7" s="202"/>
      <c r="N7" s="202"/>
      <c r="O7" s="202"/>
    </row>
    <row r="8" spans="1:15" ht="121.5">
      <c r="A8" s="169" t="s">
        <v>187</v>
      </c>
      <c r="B8" s="169" t="s">
        <v>281</v>
      </c>
      <c r="C8" s="169" t="s">
        <v>188</v>
      </c>
      <c r="D8" s="169" t="s">
        <v>117</v>
      </c>
      <c r="E8" s="169" t="s">
        <v>252</v>
      </c>
      <c r="F8" s="169" t="s">
        <v>188</v>
      </c>
      <c r="G8" s="205"/>
      <c r="H8" s="202"/>
      <c r="I8" s="202"/>
      <c r="J8" s="202"/>
      <c r="K8" s="202"/>
      <c r="L8" s="202"/>
      <c r="M8" s="202"/>
      <c r="N8" s="202"/>
      <c r="O8" s="202"/>
    </row>
    <row r="9" spans="1:15" ht="54">
      <c r="A9" s="169" t="s">
        <v>174</v>
      </c>
      <c r="B9" s="169" t="s">
        <v>276</v>
      </c>
      <c r="C9" s="169" t="s">
        <v>108</v>
      </c>
      <c r="D9" s="169" t="s">
        <v>107</v>
      </c>
      <c r="E9" s="169" t="s">
        <v>245</v>
      </c>
      <c r="F9" s="169" t="s">
        <v>108</v>
      </c>
      <c r="G9" s="202"/>
      <c r="H9" s="202"/>
      <c r="I9" s="202"/>
      <c r="J9" s="202"/>
      <c r="K9" s="202"/>
      <c r="L9" s="202"/>
      <c r="M9" s="202"/>
      <c r="N9" s="202"/>
      <c r="O9" s="202"/>
    </row>
    <row r="10" spans="1:15" ht="67.5">
      <c r="A10" s="169" t="s">
        <v>363</v>
      </c>
      <c r="B10" s="169" t="s">
        <v>364</v>
      </c>
      <c r="C10" s="169" t="s">
        <v>298</v>
      </c>
      <c r="D10" s="169" t="s">
        <v>296</v>
      </c>
      <c r="E10" s="169" t="s">
        <v>362</v>
      </c>
      <c r="F10" s="169" t="s">
        <v>298</v>
      </c>
      <c r="G10" s="202"/>
      <c r="H10" s="202"/>
      <c r="I10" s="202"/>
      <c r="J10" s="202"/>
      <c r="K10" s="202"/>
      <c r="L10" s="202"/>
      <c r="M10" s="202"/>
      <c r="N10" s="202"/>
      <c r="O10" s="202"/>
    </row>
    <row r="11" spans="1:15" ht="27">
      <c r="A11" s="169" t="s">
        <v>360</v>
      </c>
      <c r="B11" s="169" t="s">
        <v>361</v>
      </c>
      <c r="C11" s="169" t="s">
        <v>311</v>
      </c>
      <c r="D11" s="169" t="s">
        <v>309</v>
      </c>
      <c r="E11" s="169" t="s">
        <v>359</v>
      </c>
      <c r="F11" s="169" t="s">
        <v>311</v>
      </c>
      <c r="G11" s="202"/>
      <c r="H11" s="202"/>
      <c r="I11" s="202"/>
      <c r="J11" s="202"/>
      <c r="K11" s="202"/>
      <c r="L11" s="202"/>
      <c r="M11" s="202"/>
      <c r="N11" s="202"/>
      <c r="O11" s="202"/>
    </row>
    <row r="12" spans="1:15" ht="121.5">
      <c r="A12" s="169" t="s">
        <v>354</v>
      </c>
      <c r="B12" s="169" t="s">
        <v>355</v>
      </c>
      <c r="C12" s="169" t="s">
        <v>356</v>
      </c>
      <c r="D12" s="169" t="s">
        <v>351</v>
      </c>
      <c r="E12" s="169" t="s">
        <v>352</v>
      </c>
      <c r="F12" s="169" t="s">
        <v>353</v>
      </c>
      <c r="G12" s="202"/>
      <c r="H12" s="202"/>
      <c r="I12" s="202"/>
      <c r="J12" s="202"/>
      <c r="K12" s="202"/>
      <c r="L12" s="202"/>
      <c r="M12" s="202"/>
      <c r="N12" s="202"/>
      <c r="O12" s="202"/>
    </row>
    <row r="13" spans="1:15" ht="67.5">
      <c r="A13" s="169" t="s">
        <v>357</v>
      </c>
      <c r="B13" s="169" t="s">
        <v>358</v>
      </c>
      <c r="C13" s="169" t="s">
        <v>289</v>
      </c>
      <c r="D13" s="169" t="s">
        <v>121</v>
      </c>
      <c r="E13" s="169" t="s">
        <v>254</v>
      </c>
      <c r="F13" s="169" t="s">
        <v>122</v>
      </c>
      <c r="G13" s="202"/>
      <c r="H13" s="202"/>
      <c r="I13" s="202"/>
      <c r="J13" s="202"/>
      <c r="K13" s="202"/>
      <c r="L13" s="202"/>
      <c r="M13" s="202"/>
      <c r="N13" s="202"/>
      <c r="O13" s="202"/>
    </row>
    <row r="14" spans="1:15" ht="81">
      <c r="A14" s="169" t="s">
        <v>368</v>
      </c>
      <c r="B14" s="169" t="s">
        <v>303</v>
      </c>
      <c r="C14" s="169" t="s">
        <v>369</v>
      </c>
      <c r="D14" s="169" t="s">
        <v>302</v>
      </c>
      <c r="E14" s="169" t="s">
        <v>303</v>
      </c>
      <c r="F14" s="169" t="s">
        <v>304</v>
      </c>
      <c r="G14" s="202"/>
      <c r="H14" s="202"/>
      <c r="I14" s="202"/>
      <c r="J14" s="202"/>
      <c r="K14" s="202"/>
      <c r="L14" s="202"/>
      <c r="M14" s="202"/>
      <c r="N14" s="202"/>
      <c r="O14" s="202"/>
    </row>
    <row r="15" spans="1:15" ht="121.5">
      <c r="A15" s="169" t="s">
        <v>370</v>
      </c>
      <c r="B15" s="169" t="s">
        <v>371</v>
      </c>
      <c r="C15" s="169" t="s">
        <v>722</v>
      </c>
      <c r="D15" s="169" t="s">
        <v>131</v>
      </c>
      <c r="E15" s="169" t="s">
        <v>256</v>
      </c>
      <c r="F15" s="169" t="s">
        <v>132</v>
      </c>
      <c r="G15" s="202"/>
      <c r="H15" s="202"/>
      <c r="I15" s="202"/>
      <c r="J15" s="202"/>
      <c r="K15" s="202"/>
      <c r="L15" s="202"/>
      <c r="M15" s="202"/>
      <c r="N15" s="202"/>
      <c r="O15" s="202"/>
    </row>
    <row r="16" spans="1:15" ht="189">
      <c r="A16" s="169" t="s">
        <v>348</v>
      </c>
      <c r="B16" s="169" t="s">
        <v>349</v>
      </c>
      <c r="C16" s="169" t="s">
        <v>350</v>
      </c>
      <c r="D16" s="169" t="s">
        <v>345</v>
      </c>
      <c r="E16" s="169" t="s">
        <v>346</v>
      </c>
      <c r="F16" s="169" t="s">
        <v>347</v>
      </c>
      <c r="G16" s="202"/>
      <c r="H16" s="202"/>
      <c r="I16" s="202"/>
      <c r="J16" s="202"/>
      <c r="K16" s="202"/>
      <c r="L16" s="202"/>
      <c r="M16" s="202"/>
      <c r="N16" s="202"/>
      <c r="O16" s="202"/>
    </row>
    <row r="17" spans="1:15" ht="67.5">
      <c r="A17" s="169" t="s">
        <v>181</v>
      </c>
      <c r="B17" s="169" t="s">
        <v>279</v>
      </c>
      <c r="C17" s="169" t="s">
        <v>182</v>
      </c>
      <c r="D17" s="169" t="s">
        <v>115</v>
      </c>
      <c r="E17" s="169" t="s">
        <v>250</v>
      </c>
      <c r="F17" s="169" t="s">
        <v>116</v>
      </c>
      <c r="G17" s="202"/>
      <c r="H17" s="202"/>
      <c r="I17" s="202"/>
      <c r="J17" s="202"/>
      <c r="K17" s="202"/>
      <c r="L17" s="202"/>
      <c r="M17" s="202"/>
      <c r="N17" s="202"/>
      <c r="O17" s="202"/>
    </row>
    <row r="18" spans="1:15" ht="94.5">
      <c r="A18" s="169" t="s">
        <v>365</v>
      </c>
      <c r="B18" s="169" t="s">
        <v>366</v>
      </c>
      <c r="C18" s="169" t="s">
        <v>367</v>
      </c>
      <c r="D18" s="169" t="s">
        <v>113</v>
      </c>
      <c r="E18" s="169" t="s">
        <v>249</v>
      </c>
      <c r="F18" s="169" t="s">
        <v>114</v>
      </c>
      <c r="G18" s="202"/>
      <c r="H18" s="202"/>
      <c r="I18" s="202"/>
      <c r="J18" s="202"/>
      <c r="K18" s="202"/>
      <c r="L18" s="202"/>
      <c r="M18" s="202"/>
      <c r="N18" s="202"/>
      <c r="O18" s="202"/>
    </row>
    <row r="19" spans="1:15" ht="94.5">
      <c r="A19" s="169" t="s">
        <v>177</v>
      </c>
      <c r="B19" s="169" t="s">
        <v>277</v>
      </c>
      <c r="C19" s="169" t="s">
        <v>178</v>
      </c>
      <c r="D19" s="169" t="s">
        <v>111</v>
      </c>
      <c r="E19" s="169" t="s">
        <v>248</v>
      </c>
      <c r="F19" s="169" t="s">
        <v>112</v>
      </c>
      <c r="G19" s="202"/>
      <c r="H19" s="202"/>
      <c r="I19" s="202"/>
      <c r="J19" s="202"/>
      <c r="K19" s="202"/>
      <c r="L19" s="202"/>
      <c r="M19" s="202"/>
      <c r="N19" s="202"/>
      <c r="O19" s="202"/>
    </row>
  </sheetData>
  <mergeCells count="3">
    <mergeCell ref="A1:F1"/>
    <mergeCell ref="A2:F2"/>
    <mergeCell ref="A3:F3"/>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385A2-0304-40F1-AF13-05367E55CA95}">
  <sheetPr codeName="Sheet31">
    <tabColor rgb="FFFF0000"/>
  </sheetPr>
  <dimension ref="A1:O16"/>
  <sheetViews>
    <sheetView topLeftCell="A4" workbookViewId="0">
      <selection activeCell="F10" sqref="F10"/>
    </sheetView>
  </sheetViews>
  <sheetFormatPr defaultColWidth="12.06640625" defaultRowHeight="13.5"/>
  <cols>
    <col min="1" max="1" width="12" style="137" bestFit="1" customWidth="1"/>
    <col min="2" max="2" width="19.06640625" style="137" customWidth="1"/>
    <col min="3" max="3" width="49.06640625" style="137" customWidth="1"/>
    <col min="4" max="4" width="12.59765625" style="137" bestFit="1" customWidth="1"/>
    <col min="5" max="5" width="17.33203125" style="137" customWidth="1"/>
    <col min="6" max="6" width="48.53125" style="137" customWidth="1"/>
    <col min="7" max="7" width="26.46484375" style="137" customWidth="1"/>
    <col min="8" max="8" width="14.9296875" style="137" customWidth="1"/>
    <col min="9" max="14" width="12.06640625" style="137"/>
    <col min="15" max="15" width="15.33203125" style="137" customWidth="1"/>
    <col min="16" max="16384" width="12.06640625" style="137"/>
  </cols>
  <sheetData>
    <row r="1" spans="1:15" ht="23.25" customHeight="1">
      <c r="A1" s="437" t="s">
        <v>42</v>
      </c>
      <c r="B1" s="437"/>
      <c r="C1" s="437"/>
      <c r="D1" s="437"/>
      <c r="E1" s="437"/>
      <c r="F1" s="437"/>
      <c r="G1" s="100"/>
      <c r="H1" s="100"/>
      <c r="I1" s="100"/>
      <c r="J1" s="100"/>
      <c r="K1" s="100"/>
      <c r="L1" s="100"/>
      <c r="M1" s="100"/>
      <c r="N1" s="100"/>
      <c r="O1" s="100"/>
    </row>
    <row r="2" spans="1:15" s="237" customFormat="1" ht="56.25" customHeight="1">
      <c r="A2" s="310" t="s">
        <v>379</v>
      </c>
      <c r="B2" s="310"/>
      <c r="C2" s="310"/>
      <c r="D2" s="310"/>
      <c r="E2" s="310"/>
      <c r="F2" s="310"/>
      <c r="G2" s="248"/>
    </row>
    <row r="3" spans="1:15" s="237" customFormat="1" ht="77.25" customHeight="1">
      <c r="A3" s="439" t="s">
        <v>723</v>
      </c>
      <c r="B3" s="439"/>
      <c r="C3" s="439"/>
      <c r="D3" s="439"/>
      <c r="E3" s="439"/>
      <c r="F3" s="439"/>
      <c r="G3" s="236"/>
    </row>
    <row r="4" spans="1:15" s="159" customFormat="1" ht="30">
      <c r="A4" s="227" t="s">
        <v>173</v>
      </c>
      <c r="B4" s="227" t="s">
        <v>274</v>
      </c>
      <c r="C4" s="227" t="s">
        <v>313</v>
      </c>
      <c r="D4" s="227" t="s">
        <v>322</v>
      </c>
      <c r="E4" s="227" t="s">
        <v>323</v>
      </c>
      <c r="F4" s="227" t="s">
        <v>324</v>
      </c>
      <c r="G4" s="139"/>
      <c r="H4" s="139"/>
      <c r="I4" s="139"/>
      <c r="J4" s="139"/>
      <c r="K4" s="139"/>
      <c r="L4" s="139"/>
      <c r="M4" s="139"/>
      <c r="N4" s="139"/>
      <c r="O4" s="139"/>
    </row>
    <row r="5" spans="1:15" ht="94.5">
      <c r="A5" s="169" t="s">
        <v>179</v>
      </c>
      <c r="B5" s="169" t="s">
        <v>278</v>
      </c>
      <c r="C5" s="169" t="s">
        <v>180</v>
      </c>
      <c r="D5" s="169" t="s">
        <v>142</v>
      </c>
      <c r="E5" s="169" t="s">
        <v>268</v>
      </c>
      <c r="F5" s="169" t="s">
        <v>629</v>
      </c>
      <c r="G5" s="202"/>
      <c r="H5" s="202"/>
      <c r="I5" s="202"/>
      <c r="J5" s="202"/>
      <c r="K5" s="202"/>
      <c r="L5" s="202"/>
      <c r="M5" s="202"/>
      <c r="N5" s="202"/>
      <c r="O5" s="202"/>
    </row>
    <row r="6" spans="1:15" ht="94.5">
      <c r="A6" s="169" t="s">
        <v>191</v>
      </c>
      <c r="B6" s="169" t="s">
        <v>283</v>
      </c>
      <c r="C6" s="169" t="s">
        <v>192</v>
      </c>
      <c r="D6" s="169" t="s">
        <v>153</v>
      </c>
      <c r="E6" s="169" t="s">
        <v>263</v>
      </c>
      <c r="F6" s="169" t="s">
        <v>154</v>
      </c>
      <c r="G6" s="202"/>
      <c r="H6" s="202"/>
      <c r="I6" s="202"/>
      <c r="J6" s="202"/>
      <c r="K6" s="202"/>
      <c r="L6" s="202"/>
      <c r="M6" s="202"/>
      <c r="N6" s="202"/>
      <c r="O6" s="202"/>
    </row>
    <row r="7" spans="1:15" ht="108">
      <c r="A7" s="169" t="s">
        <v>187</v>
      </c>
      <c r="B7" s="169" t="s">
        <v>281</v>
      </c>
      <c r="C7" s="169" t="s">
        <v>188</v>
      </c>
      <c r="D7" s="169" t="s">
        <v>149</v>
      </c>
      <c r="E7" s="169" t="s">
        <v>266</v>
      </c>
      <c r="F7" s="169" t="s">
        <v>631</v>
      </c>
      <c r="G7" s="202"/>
      <c r="H7" s="202"/>
      <c r="I7" s="202"/>
      <c r="J7" s="202"/>
      <c r="K7" s="202"/>
      <c r="L7" s="202"/>
      <c r="M7" s="202"/>
      <c r="N7" s="202"/>
      <c r="O7" s="202"/>
    </row>
    <row r="8" spans="1:15" ht="40.5">
      <c r="A8" s="169" t="s">
        <v>189</v>
      </c>
      <c r="B8" s="169" t="s">
        <v>282</v>
      </c>
      <c r="C8" s="169" t="s">
        <v>190</v>
      </c>
      <c r="D8" s="169" t="s">
        <v>152</v>
      </c>
      <c r="E8" s="169" t="s">
        <v>266</v>
      </c>
      <c r="F8" s="169" t="s">
        <v>264</v>
      </c>
      <c r="G8" s="202"/>
      <c r="H8" s="202"/>
      <c r="I8" s="202"/>
      <c r="J8" s="202"/>
      <c r="K8" s="202"/>
      <c r="L8" s="202"/>
      <c r="M8" s="202"/>
      <c r="N8" s="202"/>
      <c r="O8" s="202"/>
    </row>
    <row r="9" spans="1:15" ht="54">
      <c r="A9" s="169" t="s">
        <v>174</v>
      </c>
      <c r="B9" s="169" t="s">
        <v>276</v>
      </c>
      <c r="C9" s="169" t="s">
        <v>108</v>
      </c>
      <c r="D9" s="169" t="s">
        <v>140</v>
      </c>
      <c r="E9" s="169" t="s">
        <v>269</v>
      </c>
      <c r="F9" s="169" t="s">
        <v>724</v>
      </c>
      <c r="G9" s="202"/>
      <c r="H9" s="202"/>
      <c r="I9" s="202"/>
      <c r="J9" s="202"/>
      <c r="K9" s="202"/>
      <c r="L9" s="202"/>
      <c r="M9" s="202"/>
      <c r="N9" s="202"/>
      <c r="O9" s="202"/>
    </row>
    <row r="10" spans="1:15" ht="54">
      <c r="A10" s="169" t="s">
        <v>357</v>
      </c>
      <c r="B10" s="169" t="s">
        <v>358</v>
      </c>
      <c r="C10" s="169" t="s">
        <v>289</v>
      </c>
      <c r="D10" s="169" t="s">
        <v>155</v>
      </c>
      <c r="E10" s="169" t="s">
        <v>262</v>
      </c>
      <c r="F10" s="169" t="s">
        <v>156</v>
      </c>
      <c r="G10" s="202"/>
      <c r="H10" s="202"/>
      <c r="I10" s="202"/>
      <c r="J10" s="202"/>
      <c r="K10" s="202"/>
      <c r="L10" s="202"/>
      <c r="M10" s="202"/>
      <c r="N10" s="202"/>
      <c r="O10" s="202"/>
    </row>
    <row r="11" spans="1:15" ht="81">
      <c r="A11" s="169" t="s">
        <v>368</v>
      </c>
      <c r="B11" s="169" t="s">
        <v>303</v>
      </c>
      <c r="C11" s="169" t="s">
        <v>369</v>
      </c>
      <c r="D11" s="169" t="s">
        <v>157</v>
      </c>
      <c r="E11" s="169" t="s">
        <v>258</v>
      </c>
      <c r="F11" s="169" t="s">
        <v>637</v>
      </c>
      <c r="G11" s="202"/>
      <c r="H11" s="202"/>
      <c r="I11" s="202"/>
      <c r="J11" s="202"/>
      <c r="K11" s="202"/>
      <c r="L11" s="202"/>
      <c r="M11" s="202"/>
      <c r="N11" s="202"/>
      <c r="O11" s="202"/>
    </row>
    <row r="12" spans="1:15" ht="40.5">
      <c r="A12" s="169" t="s">
        <v>181</v>
      </c>
      <c r="B12" s="169" t="s">
        <v>279</v>
      </c>
      <c r="C12" s="169" t="s">
        <v>182</v>
      </c>
      <c r="D12" s="169" t="s">
        <v>146</v>
      </c>
      <c r="E12" s="169" t="s">
        <v>260</v>
      </c>
      <c r="F12" s="169" t="s">
        <v>259</v>
      </c>
      <c r="G12" s="202"/>
      <c r="H12" s="202"/>
      <c r="I12" s="202"/>
      <c r="J12" s="202"/>
      <c r="K12" s="202"/>
      <c r="L12" s="202"/>
      <c r="M12" s="202"/>
      <c r="N12" s="202"/>
      <c r="O12" s="202"/>
    </row>
    <row r="13" spans="1:15" ht="67.5">
      <c r="A13" s="169" t="s">
        <v>177</v>
      </c>
      <c r="B13" s="169" t="s">
        <v>277</v>
      </c>
      <c r="C13" s="169" t="s">
        <v>178</v>
      </c>
      <c r="D13" s="169" t="s">
        <v>325</v>
      </c>
      <c r="E13" s="169" t="s">
        <v>326</v>
      </c>
      <c r="F13" s="169" t="s">
        <v>327</v>
      </c>
      <c r="G13" s="202"/>
      <c r="H13" s="202"/>
      <c r="I13" s="202"/>
      <c r="J13" s="202"/>
      <c r="K13" s="202"/>
      <c r="L13" s="202"/>
      <c r="M13" s="202"/>
      <c r="N13" s="202"/>
      <c r="O13" s="202"/>
    </row>
    <row r="14" spans="1:15" ht="72" customHeight="1">
      <c r="A14" s="247" t="s">
        <v>395</v>
      </c>
      <c r="B14" s="247" t="s">
        <v>396</v>
      </c>
      <c r="C14" s="247" t="s">
        <v>397</v>
      </c>
      <c r="D14" s="247" t="s">
        <v>398</v>
      </c>
      <c r="E14" s="247" t="s">
        <v>399</v>
      </c>
      <c r="F14" s="247" t="s">
        <v>400</v>
      </c>
      <c r="G14" s="205"/>
      <c r="H14" s="202"/>
      <c r="I14" s="202"/>
      <c r="J14" s="202"/>
      <c r="K14" s="202"/>
      <c r="L14" s="202"/>
      <c r="M14" s="202"/>
      <c r="N14" s="202"/>
      <c r="O14" s="202"/>
    </row>
    <row r="15" spans="1:15" ht="54">
      <c r="A15" s="148" t="s">
        <v>387</v>
      </c>
      <c r="B15" s="149" t="s">
        <v>388</v>
      </c>
      <c r="C15" s="149" t="s">
        <v>389</v>
      </c>
      <c r="D15" s="149" t="s">
        <v>404</v>
      </c>
      <c r="E15" s="149" t="s">
        <v>405</v>
      </c>
      <c r="F15" s="149" t="s">
        <v>406</v>
      </c>
    </row>
    <row r="16" spans="1:15" ht="175.5">
      <c r="A16" s="148" t="s">
        <v>481</v>
      </c>
      <c r="B16" s="149" t="s">
        <v>482</v>
      </c>
      <c r="C16" s="149" t="s">
        <v>483</v>
      </c>
      <c r="D16" s="149" t="s">
        <v>404</v>
      </c>
      <c r="E16" s="149" t="s">
        <v>405</v>
      </c>
      <c r="F16" s="149" t="s">
        <v>406</v>
      </c>
    </row>
  </sheetData>
  <mergeCells count="3">
    <mergeCell ref="A1:F1"/>
    <mergeCell ref="A2:F2"/>
    <mergeCell ref="A3:F3"/>
  </mergeCell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63211-22D6-495D-8E59-226BAC3B9370}">
  <sheetPr codeName="Sheet32">
    <tabColor rgb="FFFF0000"/>
  </sheetPr>
  <dimension ref="A1:N9"/>
  <sheetViews>
    <sheetView workbookViewId="0">
      <selection activeCell="A3" sqref="A3:E3"/>
    </sheetView>
  </sheetViews>
  <sheetFormatPr defaultColWidth="12.06640625" defaultRowHeight="13.5"/>
  <cols>
    <col min="1" max="1" width="12" style="244" bestFit="1" customWidth="1"/>
    <col min="2" max="2" width="19.53125" style="244" customWidth="1"/>
    <col min="3" max="3" width="46.06640625" style="244" customWidth="1"/>
    <col min="4" max="4" width="12.59765625" style="244" bestFit="1" customWidth="1"/>
    <col min="5" max="5" width="41.9296875" style="244" customWidth="1"/>
    <col min="6" max="6" width="28.46484375" style="244" customWidth="1"/>
    <col min="7" max="7" width="14.9296875" style="244" customWidth="1"/>
    <col min="8" max="13" width="12.06640625" style="244"/>
    <col min="14" max="14" width="13.46484375" style="244" customWidth="1"/>
    <col min="15" max="16384" width="12.06640625" style="244"/>
  </cols>
  <sheetData>
    <row r="1" spans="1:14" ht="23.25" customHeight="1">
      <c r="A1" s="437" t="s">
        <v>42</v>
      </c>
      <c r="B1" s="437"/>
      <c r="C1" s="437"/>
      <c r="D1" s="437"/>
      <c r="E1" s="437"/>
      <c r="F1" s="100"/>
      <c r="G1" s="100"/>
      <c r="H1" s="100"/>
      <c r="I1" s="100"/>
      <c r="J1" s="100"/>
      <c r="K1" s="100"/>
      <c r="L1" s="100"/>
      <c r="M1" s="100"/>
      <c r="N1" s="100"/>
    </row>
    <row r="2" spans="1:14" s="237" customFormat="1" ht="51.75" customHeight="1">
      <c r="A2" s="440" t="s">
        <v>379</v>
      </c>
      <c r="B2" s="440"/>
      <c r="C2" s="440"/>
      <c r="D2" s="440"/>
      <c r="E2" s="440"/>
      <c r="F2" s="248"/>
    </row>
    <row r="3" spans="1:14" s="237" customFormat="1" ht="78.75" customHeight="1">
      <c r="A3" s="441" t="s">
        <v>725</v>
      </c>
      <c r="B3" s="441"/>
      <c r="C3" s="441"/>
      <c r="D3" s="441"/>
      <c r="E3" s="441"/>
      <c r="F3" s="236"/>
    </row>
    <row r="4" spans="1:14" s="147" customFormat="1" ht="30">
      <c r="A4" s="215" t="s">
        <v>173</v>
      </c>
      <c r="B4" s="215" t="s">
        <v>274</v>
      </c>
      <c r="C4" s="215" t="s">
        <v>313</v>
      </c>
      <c r="D4" s="215" t="s">
        <v>334</v>
      </c>
      <c r="E4" s="215" t="s">
        <v>335</v>
      </c>
    </row>
    <row r="5" spans="1:14" ht="129" customHeight="1">
      <c r="A5" s="209" t="s">
        <v>342</v>
      </c>
      <c r="B5" s="209" t="s">
        <v>343</v>
      </c>
      <c r="C5" s="209" t="s">
        <v>716</v>
      </c>
      <c r="D5" s="219" t="s">
        <v>159</v>
      </c>
      <c r="E5" s="209" t="s">
        <v>158</v>
      </c>
    </row>
    <row r="6" spans="1:14" ht="54">
      <c r="A6" s="209" t="s">
        <v>174</v>
      </c>
      <c r="B6" s="209" t="s">
        <v>276</v>
      </c>
      <c r="C6" s="209" t="s">
        <v>108</v>
      </c>
      <c r="D6" s="209" t="s">
        <v>377</v>
      </c>
      <c r="E6" s="209" t="s">
        <v>378</v>
      </c>
    </row>
    <row r="7" spans="1:14" ht="45" customHeight="1">
      <c r="A7" s="442" t="s">
        <v>387</v>
      </c>
      <c r="B7" s="442" t="s">
        <v>388</v>
      </c>
      <c r="C7" s="442" t="s">
        <v>389</v>
      </c>
      <c r="D7" s="209" t="s">
        <v>169</v>
      </c>
      <c r="E7" s="209" t="s">
        <v>168</v>
      </c>
    </row>
    <row r="8" spans="1:14" ht="57" customHeight="1">
      <c r="A8" s="442"/>
      <c r="B8" s="442"/>
      <c r="C8" s="442"/>
      <c r="D8" s="209" t="s">
        <v>411</v>
      </c>
      <c r="E8" s="209" t="s">
        <v>484</v>
      </c>
      <c r="F8" s="241"/>
    </row>
    <row r="9" spans="1:14" ht="82.5" customHeight="1">
      <c r="A9" s="209" t="s">
        <v>395</v>
      </c>
      <c r="B9" s="209" t="s">
        <v>396</v>
      </c>
      <c r="C9" s="209" t="s">
        <v>397</v>
      </c>
      <c r="D9" s="209" t="s">
        <v>401</v>
      </c>
      <c r="E9" s="209" t="s">
        <v>402</v>
      </c>
    </row>
  </sheetData>
  <mergeCells count="6">
    <mergeCell ref="A1:E1"/>
    <mergeCell ref="A2:E2"/>
    <mergeCell ref="A3:E3"/>
    <mergeCell ref="A7:A8"/>
    <mergeCell ref="B7:B8"/>
    <mergeCell ref="C7:C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759BF7D883EDD47BFCBA4F365A8DBA0" ma:contentTypeVersion="2" ma:contentTypeDescription="Create a new document." ma:contentTypeScope="" ma:versionID="6244cc83b08dd11b39b71b63b3df48fc">
  <xsd:schema xmlns:xsd="http://www.w3.org/2001/XMLSchema" xmlns:xs="http://www.w3.org/2001/XMLSchema" xmlns:p="http://schemas.microsoft.com/office/2006/metadata/properties" xmlns:ns2="a0bde713-d750-4573-81e5-ec99dc6071e8" targetNamespace="http://schemas.microsoft.com/office/2006/metadata/properties" ma:root="true" ma:fieldsID="45b6111eaf3332c9f924259706ede63f" ns2:_="">
    <xsd:import namespace="a0bde713-d750-4573-81e5-ec99dc6071e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bde713-d750-4573-81e5-ec99dc6071e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28FAED-03AF-4034-B09B-EC48DECA2762}">
  <ds:schemaRefs>
    <ds:schemaRef ds:uri="http://schemas.microsoft.com/sharepoint/v3/contenttype/forms"/>
  </ds:schemaRefs>
</ds:datastoreItem>
</file>

<file path=customXml/itemProps2.xml><?xml version="1.0" encoding="utf-8"?>
<ds:datastoreItem xmlns:ds="http://schemas.openxmlformats.org/officeDocument/2006/customXml" ds:itemID="{8FCBD92D-9A95-402E-8554-3B063B3FF3CE}">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0C825A7-DB6F-426D-B5DF-5849A534DB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bde713-d750-4573-81e5-ec99dc6071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41</vt:i4>
      </vt:variant>
    </vt:vector>
  </HeadingPairs>
  <TitlesOfParts>
    <vt:vector size="41" baseType="lpstr">
      <vt:lpstr>Overview</vt:lpstr>
      <vt:lpstr>Instructions</vt:lpstr>
      <vt:lpstr>Tool Selection</vt:lpstr>
      <vt:lpstr>Description of Tools</vt:lpstr>
      <vt:lpstr>EDIT</vt:lpstr>
      <vt:lpstr>GDHI</vt:lpstr>
      <vt:lpstr>IMM</vt:lpstr>
      <vt:lpstr>IS4H</vt:lpstr>
      <vt:lpstr>SCORE</vt:lpstr>
      <vt:lpstr>SOCI</vt:lpstr>
      <vt:lpstr>Indi_mapping</vt:lpstr>
      <vt:lpstr>EDIT-GDHI</vt:lpstr>
      <vt:lpstr>EDIT-IMM</vt:lpstr>
      <vt:lpstr>EDIT-IS4H</vt:lpstr>
      <vt:lpstr>EDIT-SCORE</vt:lpstr>
      <vt:lpstr>EDIT-SOCI</vt:lpstr>
      <vt:lpstr>GDHI-EDIT</vt:lpstr>
      <vt:lpstr>GDHI-IMM</vt:lpstr>
      <vt:lpstr>GDHI-IS4H</vt:lpstr>
      <vt:lpstr>GDHI-SCORE</vt:lpstr>
      <vt:lpstr>GDHI-SOCI</vt:lpstr>
      <vt:lpstr>IMM-EDIT</vt:lpstr>
      <vt:lpstr>IMM-GDHI</vt:lpstr>
      <vt:lpstr>IMM-IS4H</vt:lpstr>
      <vt:lpstr>IMM-SCORE</vt:lpstr>
      <vt:lpstr>IMM-SOCI</vt:lpstr>
      <vt:lpstr>IS4H-EDIT</vt:lpstr>
      <vt:lpstr>IS4H-GDHI</vt:lpstr>
      <vt:lpstr>IS4H-IMM</vt:lpstr>
      <vt:lpstr>IS4H-SCORE</vt:lpstr>
      <vt:lpstr>IS4H-SOCI</vt:lpstr>
      <vt:lpstr>SCORE-EDIT</vt:lpstr>
      <vt:lpstr>SCORE-GDHI</vt:lpstr>
      <vt:lpstr>SCORE-IMM</vt:lpstr>
      <vt:lpstr>SCORE-IS4H</vt:lpstr>
      <vt:lpstr>SCORE-SOCI</vt:lpstr>
      <vt:lpstr>SOCI-EDIT</vt:lpstr>
      <vt:lpstr>SOCI-GDHI</vt:lpstr>
      <vt:lpstr>SOCI-IMM</vt:lpstr>
      <vt:lpstr>SOCI-IS4H</vt:lpstr>
      <vt:lpstr>SOCI-SCORE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Millar, Liz</dc:creator>
  <cp:lastModifiedBy>Liz Millar</cp:lastModifiedBy>
  <dcterms:created xsi:type="dcterms:W3CDTF">2021-01-15T18:37:00Z</dcterms:created>
  <dcterms:modified xsi:type="dcterms:W3CDTF">2021-09-15T16:10:59Z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0x0101008759BF7D883EDD47BFCBA4F365A8DBA0</vt:lpwstr>
  </property>
  <property fmtid="{D5CDD505-2E9C-101B-9397-08002B2CF9AE}" pid="3" name="ESRI_WORKBOOK_ID">
    <vt:lpwstr>9dcad485e3f64b5c9fd870329e8ace85</vt:lpwstr>
  </property>
</Properties>
</file>